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ta_nicholas@lilly.com\Downloads\"/>
    </mc:Choice>
  </mc:AlternateContent>
  <xr:revisionPtr revIDLastSave="0" documentId="13_ncr:1_{0817033A-32AE-44A2-8D31-26889D462710}" xr6:coauthVersionLast="47" xr6:coauthVersionMax="47" xr10:uidLastSave="{00000000-0000-0000-0000-000000000000}"/>
  <bookViews>
    <workbookView xWindow="28800" yWindow="0" windowWidth="19200" windowHeight="15600" xr2:uid="{5EA8EBEE-E4C6-4B86-8776-B6B67AD4040D}"/>
  </bookViews>
  <sheets>
    <sheet name="Regression" sheetId="1" r:id="rId1"/>
    <sheet name="Regression_back" sheetId="3" state="veryHidden" r:id="rId2"/>
  </sheets>
  <functionGroups builtInGroupCount="19"/>
  <definedNames>
    <definedName name="_xlnm._FilterDatabase" localSheetId="0" hidden="1">Regression!$A$5:$B$204</definedName>
    <definedName name="Cp">Regression!$H$7</definedName>
    <definedName name="Dilution">Regression!$H$6</definedName>
    <definedName name="solver_adj" localSheetId="0" hidden="1">Regression!$H$8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Regression!$H$8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Regression!#REF!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hs1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  <definedName name="Titer">Regression!$H$8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B2" i="3" s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" i="3"/>
  <c r="I2" i="3"/>
  <c r="I4" i="3" s="1"/>
  <c r="H2" i="3"/>
  <c r="H4" i="3" s="1"/>
  <c r="A1" i="3"/>
  <c r="K2" i="3" l="1"/>
  <c r="A54" i="3" s="1"/>
  <c r="A112" i="3" l="1"/>
  <c r="A104" i="3"/>
  <c r="A69" i="3"/>
  <c r="A38" i="3"/>
  <c r="A61" i="3"/>
  <c r="A30" i="3"/>
  <c r="A196" i="3"/>
  <c r="A164" i="3"/>
  <c r="A42" i="3"/>
  <c r="A34" i="3"/>
  <c r="A26" i="3"/>
  <c r="A18" i="3"/>
  <c r="A128" i="3"/>
  <c r="A120" i="3"/>
  <c r="A22" i="3"/>
  <c r="A84" i="3"/>
  <c r="A11" i="3"/>
  <c r="A135" i="3"/>
  <c r="A76" i="3"/>
  <c r="A3" i="3"/>
  <c r="A127" i="3"/>
  <c r="A68" i="3"/>
  <c r="A193" i="3"/>
  <c r="A119" i="3"/>
  <c r="A4" i="3"/>
  <c r="A185" i="3"/>
  <c r="A111" i="3"/>
  <c r="A173" i="3"/>
  <c r="A187" i="3"/>
  <c r="A121" i="3"/>
  <c r="A103" i="3"/>
  <c r="A93" i="3"/>
  <c r="A171" i="3"/>
  <c r="A113" i="3"/>
  <c r="A39" i="3"/>
  <c r="A85" i="3"/>
  <c r="A114" i="3"/>
  <c r="A200" i="3"/>
  <c r="A118" i="3"/>
  <c r="A77" i="3"/>
  <c r="A50" i="3"/>
  <c r="A192" i="3"/>
  <c r="A46" i="3"/>
  <c r="A188" i="3"/>
  <c r="A147" i="3"/>
  <c r="A131" i="3"/>
  <c r="A105" i="3"/>
  <c r="A96" i="3"/>
  <c r="A31" i="3"/>
  <c r="A197" i="3"/>
  <c r="A180" i="3"/>
  <c r="A115" i="3"/>
  <c r="A123" i="3"/>
  <c r="A97" i="3"/>
  <c r="A32" i="3"/>
  <c r="A23" i="3"/>
  <c r="A189" i="3"/>
  <c r="B189" i="3" s="1"/>
  <c r="A172" i="3"/>
  <c r="A146" i="3"/>
  <c r="A107" i="3"/>
  <c r="A89" i="3"/>
  <c r="A24" i="3"/>
  <c r="A15" i="3"/>
  <c r="A138" i="3"/>
  <c r="A99" i="3"/>
  <c r="A25" i="3"/>
  <c r="A16" i="3"/>
  <c r="A142" i="3"/>
  <c r="A165" i="3"/>
  <c r="A100" i="3"/>
  <c r="A130" i="3"/>
  <c r="A91" i="3"/>
  <c r="A17" i="3"/>
  <c r="A8" i="3"/>
  <c r="A134" i="3"/>
  <c r="A157" i="3"/>
  <c r="A92" i="3"/>
  <c r="A122" i="3"/>
  <c r="A19" i="3"/>
  <c r="A9" i="3"/>
  <c r="A199" i="3"/>
  <c r="A126" i="3"/>
  <c r="A7" i="3"/>
  <c r="A110" i="3"/>
  <c r="A14" i="3"/>
  <c r="A149" i="3"/>
  <c r="A53" i="3"/>
  <c r="A156" i="3"/>
  <c r="A60" i="3"/>
  <c r="A83" i="3"/>
  <c r="A106" i="3"/>
  <c r="A10" i="3"/>
  <c r="A75" i="3"/>
  <c r="A177" i="3"/>
  <c r="A81" i="3"/>
  <c r="A184" i="3"/>
  <c r="A88" i="3"/>
  <c r="A191" i="3"/>
  <c r="A95" i="3"/>
  <c r="A198" i="3"/>
  <c r="A102" i="3"/>
  <c r="A6" i="3"/>
  <c r="A141" i="3"/>
  <c r="A45" i="3"/>
  <c r="A148" i="3"/>
  <c r="A52" i="3"/>
  <c r="A194" i="3"/>
  <c r="A98" i="3"/>
  <c r="A181" i="3"/>
  <c r="A67" i="3"/>
  <c r="A169" i="3"/>
  <c r="A73" i="3"/>
  <c r="A176" i="3"/>
  <c r="A80" i="3"/>
  <c r="A183" i="3"/>
  <c r="A87" i="3"/>
  <c r="A190" i="3"/>
  <c r="A94" i="3"/>
  <c r="A133" i="3"/>
  <c r="A140" i="3"/>
  <c r="A44" i="3"/>
  <c r="A90" i="3"/>
  <c r="A59" i="3"/>
  <c r="A161" i="3"/>
  <c r="A168" i="3"/>
  <c r="A72" i="3"/>
  <c r="A79" i="3"/>
  <c r="A86" i="3"/>
  <c r="A125" i="3"/>
  <c r="A29" i="3"/>
  <c r="A132" i="3"/>
  <c r="A178" i="3"/>
  <c r="A82" i="3"/>
  <c r="A51" i="3"/>
  <c r="A153" i="3"/>
  <c r="A160" i="3"/>
  <c r="A64" i="3"/>
  <c r="A174" i="3"/>
  <c r="A117" i="3"/>
  <c r="A21" i="3"/>
  <c r="A124" i="3"/>
  <c r="A170" i="3"/>
  <c r="A74" i="3"/>
  <c r="A163" i="3"/>
  <c r="A43" i="3"/>
  <c r="A49" i="3"/>
  <c r="A152" i="3"/>
  <c r="A56" i="3"/>
  <c r="A159" i="3"/>
  <c r="A63" i="3"/>
  <c r="A70" i="3"/>
  <c r="A109" i="3"/>
  <c r="A13" i="3"/>
  <c r="A116" i="3"/>
  <c r="A20" i="3"/>
  <c r="A162" i="3"/>
  <c r="A66" i="3"/>
  <c r="A155" i="3"/>
  <c r="A35" i="3"/>
  <c r="A137" i="3"/>
  <c r="A41" i="3"/>
  <c r="A144" i="3"/>
  <c r="A48" i="3"/>
  <c r="A151" i="3"/>
  <c r="A55" i="3"/>
  <c r="A158" i="3"/>
  <c r="A62" i="3"/>
  <c r="A37" i="3"/>
  <c r="A186" i="3"/>
  <c r="A195" i="3"/>
  <c r="A65" i="3"/>
  <c r="A175" i="3"/>
  <c r="A182" i="3"/>
  <c r="A36" i="3"/>
  <c r="A179" i="3"/>
  <c r="A57" i="3"/>
  <c r="A167" i="3"/>
  <c r="A71" i="3"/>
  <c r="A78" i="3"/>
  <c r="A28" i="3"/>
  <c r="A145" i="3"/>
  <c r="A166" i="3"/>
  <c r="A101" i="3"/>
  <c r="A5" i="3"/>
  <c r="A108" i="3"/>
  <c r="A12" i="3"/>
  <c r="A154" i="3"/>
  <c r="A58" i="3"/>
  <c r="A139" i="3"/>
  <c r="A27" i="3"/>
  <c r="A129" i="3"/>
  <c r="A33" i="3"/>
  <c r="A136" i="3"/>
  <c r="A40" i="3"/>
  <c r="A143" i="3"/>
  <c r="A47" i="3"/>
  <c r="A150" i="3"/>
  <c r="B157" i="3" l="1"/>
  <c r="B116" i="3"/>
  <c r="B33" i="3"/>
  <c r="B83" i="3"/>
  <c r="B172" i="3"/>
  <c r="B111" i="3"/>
  <c r="B185" i="3"/>
  <c r="B163" i="3"/>
  <c r="B60" i="3"/>
  <c r="B198" i="3"/>
  <c r="B145" i="3"/>
  <c r="B34" i="3"/>
  <c r="B24" i="3"/>
  <c r="B199" i="3"/>
  <c r="B39" i="3"/>
  <c r="B91" i="3"/>
  <c r="B187" i="3"/>
  <c r="B194" i="3"/>
  <c r="B193" i="3"/>
  <c r="B105" i="3"/>
  <c r="B84" i="3"/>
  <c r="B23" i="3"/>
  <c r="B69" i="3"/>
  <c r="B112" i="3"/>
  <c r="B51" i="3"/>
  <c r="B65" i="3"/>
  <c r="B140" i="3"/>
  <c r="B79" i="3"/>
  <c r="B22" i="3"/>
  <c r="B192" i="3"/>
  <c r="B131" i="3"/>
  <c r="B21" i="3"/>
  <c r="B28" i="3"/>
  <c r="B166" i="3"/>
  <c r="B200" i="3"/>
  <c r="B37" i="3"/>
  <c r="B135" i="3"/>
  <c r="B10" i="3"/>
  <c r="B146" i="3"/>
  <c r="B173" i="3"/>
  <c r="B114" i="3"/>
  <c r="B11" i="3"/>
  <c r="B161" i="3"/>
  <c r="B132" i="3"/>
  <c r="B143" i="3"/>
  <c r="B55" i="3"/>
  <c r="B144" i="3"/>
  <c r="B26" i="3"/>
  <c r="B54" i="3"/>
  <c r="B141" i="3"/>
  <c r="B169" i="3"/>
  <c r="B17" i="3"/>
  <c r="B52" i="3"/>
  <c r="B190" i="3"/>
  <c r="B137" i="3"/>
  <c r="B80" i="3"/>
  <c r="B19" i="3"/>
  <c r="B101" i="3"/>
  <c r="B108" i="3"/>
  <c r="B47" i="3"/>
  <c r="B97" i="3"/>
  <c r="B160" i="3"/>
  <c r="B99" i="3"/>
  <c r="B73" i="3"/>
  <c r="B191" i="3"/>
  <c r="B134" i="3"/>
  <c r="B120" i="3"/>
  <c r="B88" i="3"/>
  <c r="B43" i="3"/>
  <c r="B164" i="3"/>
  <c r="B78" i="3"/>
  <c r="B72" i="3"/>
  <c r="B129" i="3"/>
  <c r="B66" i="3"/>
  <c r="B155" i="3"/>
  <c r="B46" i="3"/>
  <c r="B30" i="3"/>
  <c r="B20" i="3"/>
  <c r="B49" i="3"/>
  <c r="B186" i="3"/>
  <c r="B15" i="3"/>
  <c r="B128" i="3"/>
  <c r="B159" i="3"/>
  <c r="B103" i="3"/>
  <c r="B115" i="3"/>
  <c r="B85" i="3"/>
  <c r="B158" i="3"/>
  <c r="B48" i="3"/>
  <c r="B13" i="3"/>
  <c r="B76" i="3"/>
  <c r="B133" i="3"/>
  <c r="B67" i="3"/>
  <c r="B29" i="3"/>
  <c r="B102" i="3"/>
  <c r="B36" i="3"/>
  <c r="B27" i="3"/>
  <c r="B162" i="3"/>
  <c r="B181" i="3"/>
  <c r="B14" i="3"/>
  <c r="B110" i="3"/>
  <c r="B152" i="3"/>
  <c r="B153" i="3"/>
  <c r="B40" i="3"/>
  <c r="B25" i="3"/>
  <c r="B183" i="3"/>
  <c r="B126" i="3"/>
  <c r="B117" i="3"/>
  <c r="B16" i="3"/>
  <c r="B154" i="3"/>
  <c r="B81" i="3"/>
  <c r="B44" i="3"/>
  <c r="B182" i="3"/>
  <c r="B45" i="3"/>
  <c r="B96" i="3"/>
  <c r="B35" i="3"/>
  <c r="B188" i="3"/>
  <c r="B127" i="3"/>
  <c r="B70" i="3"/>
  <c r="B139" i="3"/>
  <c r="B142" i="3"/>
  <c r="B82" i="3"/>
  <c r="B184" i="3"/>
  <c r="B197" i="3"/>
  <c r="B130" i="3"/>
  <c r="B121" i="3"/>
  <c r="B171" i="3"/>
  <c r="B178" i="3"/>
  <c r="B71" i="3"/>
  <c r="B93" i="3"/>
  <c r="B151" i="3"/>
  <c r="B94" i="3"/>
  <c r="B57" i="3"/>
  <c r="B179" i="3"/>
  <c r="B122" i="3"/>
  <c r="B149" i="3"/>
  <c r="B12" i="3"/>
  <c r="B150" i="3"/>
  <c r="B109" i="3"/>
  <c r="B64" i="3"/>
  <c r="B4" i="3"/>
  <c r="B156" i="3"/>
  <c r="B95" i="3"/>
  <c r="B38" i="3"/>
  <c r="B59" i="3"/>
  <c r="B53" i="3"/>
  <c r="B18" i="3"/>
  <c r="B100" i="3"/>
  <c r="B168" i="3"/>
  <c r="B3" i="3"/>
  <c r="B56" i="3"/>
  <c r="B7" i="3"/>
  <c r="B136" i="3"/>
  <c r="B167" i="3"/>
  <c r="B180" i="3"/>
  <c r="B119" i="3"/>
  <c r="B62" i="3"/>
  <c r="B125" i="3"/>
  <c r="B147" i="3"/>
  <c r="B90" i="3"/>
  <c r="B89" i="3"/>
  <c r="B175" i="3"/>
  <c r="B118" i="3"/>
  <c r="B177" i="3"/>
  <c r="B32" i="3"/>
  <c r="B170" i="3"/>
  <c r="B124" i="3"/>
  <c r="B63" i="3"/>
  <c r="B6" i="3"/>
  <c r="B174" i="3"/>
  <c r="B196" i="3"/>
  <c r="B165" i="3"/>
  <c r="B8" i="3"/>
  <c r="B107" i="3"/>
  <c r="B113" i="3"/>
  <c r="B75" i="3"/>
  <c r="B50" i="3"/>
  <c r="B106" i="3"/>
  <c r="B148" i="3"/>
  <c r="B87" i="3"/>
  <c r="B176" i="3"/>
  <c r="B58" i="3"/>
  <c r="B86" i="3"/>
  <c r="B41" i="3"/>
  <c r="B195" i="3"/>
  <c r="B138" i="3"/>
  <c r="B92" i="3"/>
  <c r="B31" i="3"/>
  <c r="B5" i="3"/>
  <c r="B98" i="3"/>
  <c r="B104" i="3"/>
  <c r="B9" i="3"/>
  <c r="B123" i="3"/>
  <c r="B74" i="3"/>
  <c r="B68" i="3"/>
  <c r="B61" i="3"/>
  <c r="B77" i="3"/>
  <c r="B42" i="3"/>
  <c r="Q2" i="3" l="1"/>
  <c r="S2" i="3" s="1"/>
  <c r="M8" i="3" l="1"/>
  <c r="M10" i="3"/>
  <c r="M11" i="3"/>
  <c r="M7" i="3"/>
  <c r="M2" i="3"/>
  <c r="M6" i="3"/>
  <c r="M9" i="3"/>
  <c r="M3" i="3"/>
  <c r="M4" i="3"/>
  <c r="M5" i="3"/>
  <c r="N2" i="3"/>
  <c r="N3" i="3" s="1"/>
  <c r="N4" i="3" s="1"/>
  <c r="N5" i="3" s="1"/>
  <c r="N6" i="3" s="1"/>
  <c r="N7" i="3" s="1"/>
  <c r="N8" i="3" s="1"/>
  <c r="N9" i="3" s="1"/>
  <c r="N10" i="3" s="1"/>
  <c r="N11" i="3" s="1"/>
</calcChain>
</file>

<file path=xl/sharedStrings.xml><?xml version="1.0" encoding="utf-8"?>
<sst xmlns="http://schemas.openxmlformats.org/spreadsheetml/2006/main" count="23" uniqueCount="20">
  <si>
    <t>Ynew</t>
  </si>
  <si>
    <t>Dilution</t>
  </si>
  <si>
    <t>Signal</t>
  </si>
  <si>
    <t>min_data</t>
  </si>
  <si>
    <t>max_data</t>
  </si>
  <si>
    <t>nrow</t>
  </si>
  <si>
    <t>n_min</t>
  </si>
  <si>
    <t>n_max</t>
  </si>
  <si>
    <t>Parameters</t>
  </si>
  <si>
    <t>Instructions</t>
  </si>
  <si>
    <t>Dilution Fold</t>
  </si>
  <si>
    <t>Cut Point Factor</t>
  </si>
  <si>
    <t>Estimated Titer</t>
  </si>
  <si>
    <t>*Default = 1.6</t>
  </si>
  <si>
    <t>*Default = 2</t>
  </si>
  <si>
    <t>Cutpoint</t>
  </si>
  <si>
    <t>Titer Bar</t>
  </si>
  <si>
    <t>R2</t>
  </si>
  <si>
    <t>Non-Linear Titer Estimator</t>
  </si>
  <si>
    <t xml:space="preserve">Place data in columns below and press run. The tool will perform non-linear regression to fit a titer curve with a set cut point factor. Interface will prompt errors in data or warn about potentially incorrect outputs. Paramaters can be edited but are set to recommended defaults.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</si>
</sst>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000"/>
    <numFmt numFmtId="166" formatCode="0.000"/>
  </numFmts>
  <fonts count="9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8"/>
      <color rgb="FFFF0000"/>
      <name val="Calibri"/>
      <family val="2"/>
      <scheme val="minor"/>
    </font>
    <font>
      <b/>
      <sz val="20"/>
      <color rgb="FF000000"/>
      <name val="Times New Roman"/>
      <family val="1"/>
    </font>
    <font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1" xfId="0" applyFill="1" applyBorder="1" applyProtection="1">
      <protection locked="0"/>
    </xf>
    <xf numFmtId="0" fontId="0" fillId="2" borderId="2" xfId="0" applyFill="1" applyBorder="1"/>
    <xf numFmtId="0" fontId="0" fillId="2" borderId="7" xfId="0" applyFill="1" applyBorder="1"/>
    <xf numFmtId="0" fontId="0" fillId="2" borderId="6" xfId="0" applyFill="1" applyBorder="1"/>
    <xf numFmtId="0" fontId="0" fillId="2" borderId="5" xfId="0" applyFill="1" applyBorder="1"/>
    <xf numFmtId="0" fontId="0" fillId="2" borderId="4" xfId="0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7" fillId="2" borderId="6" xfId="0" applyFont="1" applyFill="1" applyBorder="1"/>
    <xf numFmtId="0" fontId="0" fillId="4" borderId="0" xfId="0" applyFill="1"/>
    <xf numFmtId="0" fontId="4" fillId="4" borderId="0" xfId="0" applyFont="1" applyFill="1" applyAlignment="1">
      <alignment vertical="top"/>
    </xf>
    <xf numFmtId="0" fontId="2" fillId="4" borderId="0" xfId="0" applyFont="1" applyFill="1"/>
    <xf numFmtId="0" fontId="6" fillId="4" borderId="0" xfId="0" applyFont="1" applyFill="1" applyAlignment="1">
      <alignment vertical="top"/>
    </xf>
    <xf numFmtId="0" fontId="3" fillId="4" borderId="0" xfId="0" applyFont="1" applyFill="1"/>
    <xf numFmtId="165" fontId="0" fillId="4" borderId="0" xfId="0" applyNumberFormat="1" applyFill="1"/>
    <xf numFmtId="165" fontId="3" fillId="4" borderId="0" xfId="0" applyNumberFormat="1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1" fillId="4" borderId="0" xfId="0" applyFont="1" applyFill="1" applyAlignment="1">
      <alignment horizontal="right"/>
    </xf>
    <xf numFmtId="164" fontId="3" fillId="4" borderId="0" xfId="0" applyNumberFormat="1" applyFont="1" applyFill="1" applyAlignment="1">
      <alignment horizontal="center"/>
    </xf>
    <xf numFmtId="0" fontId="0" fillId="4" borderId="1" xfId="0" applyFill="1" applyBorder="1"/>
    <xf numFmtId="0" fontId="1" fillId="2" borderId="1" xfId="0" applyFont="1" applyFill="1" applyBorder="1" applyAlignment="1">
      <alignment horizontal="center"/>
    </xf>
    <xf numFmtId="0" fontId="0" fillId="4" borderId="0" xfId="0" applyFill="1" applyAlignment="1">
      <alignment vertical="top" wrapText="1"/>
    </xf>
    <xf numFmtId="0" fontId="8" fillId="4" borderId="0" xfId="0" applyFont="1" applyFill="1" applyAlignment="1">
      <alignment vertical="top"/>
    </xf>
    <xf numFmtId="166" fontId="7" fillId="5" borderId="4" xfId="0" applyNumberFormat="1" applyFont="1" applyFill="1" applyBorder="1" applyAlignment="1" applyProtection="1">
      <alignment horizontal="center"/>
      <protection locked="0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4" borderId="0" xfId="0" applyFill="1" applyAlignment="1">
      <alignment horizontal="left" vertical="top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Titration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570346879724857E-2"/>
          <c:y val="0.11318404479970554"/>
          <c:w val="0.87119123469731152"/>
          <c:h val="0.79299366107452818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Regression!$B$5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Regression!$A$7:$A$204</c:f>
              <c:numCache>
                <c:formatCode>General</c:formatCode>
                <c:ptCount val="198"/>
              </c:numCache>
            </c:numRef>
          </c:xVal>
          <c:yVal>
            <c:numRef>
              <c:f>Regression!$B$7:$B$204</c:f>
              <c:numCache>
                <c:formatCode>General</c:formatCode>
                <c:ptCount val="1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4A-449C-9872-6A6F23FDF29C}"/>
            </c:ext>
          </c:extLst>
        </c:ser>
        <c:ser>
          <c:idx val="1"/>
          <c:order val="1"/>
          <c:tx>
            <c:v>Regression</c:v>
          </c:tx>
          <c:spPr>
            <a:ln w="2540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Regression_back!$A$2:$A$200</c:f>
            </c:numRef>
          </c:xVal>
          <c:yVal>
            <c:numRef>
              <c:f>Regression_back!$B$2:$B$200</c:f>
              <c:numCache>
                <c:formatCode>General</c:formatCode>
                <c:ptCount val="1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B8-4832-8678-A3F3E3EA26F6}"/>
            </c:ext>
          </c:extLst>
        </c:ser>
        <c:ser>
          <c:idx val="2"/>
          <c:order val="2"/>
          <c:tx>
            <c:v>Cut Point</c:v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86"/>
              <c:layout>
                <c:manualLayout>
                  <c:x val="7.0052532964449566E-3"/>
                  <c:y val="-5.5555555555555552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A15-4BEF-ACEA-CBBF3B5A1D24}"/>
                </c:ext>
              </c:extLst>
            </c:dLbl>
            <c:spPr>
              <a:solidFill>
                <a:srgbClr val="E7E6E6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Regression_back!$A$2:$A$200</c:f>
            </c:numRef>
          </c:xVal>
          <c:yVal>
            <c:numRef>
              <c:f>Regression_back!$C$2:$C$200</c:f>
              <c:numCache>
                <c:formatCode>General</c:formatCode>
                <c:ptCount val="199"/>
                <c:pt idx="0">
                  <c:v>1.6</c:v>
                </c:pt>
                <c:pt idx="1">
                  <c:v>1.6</c:v>
                </c:pt>
                <c:pt idx="2">
                  <c:v>1.6</c:v>
                </c:pt>
                <c:pt idx="3">
                  <c:v>1.6</c:v>
                </c:pt>
                <c:pt idx="4">
                  <c:v>1.6</c:v>
                </c:pt>
                <c:pt idx="5">
                  <c:v>1.6</c:v>
                </c:pt>
                <c:pt idx="6">
                  <c:v>1.6</c:v>
                </c:pt>
                <c:pt idx="7">
                  <c:v>1.6</c:v>
                </c:pt>
                <c:pt idx="8">
                  <c:v>1.6</c:v>
                </c:pt>
                <c:pt idx="9">
                  <c:v>1.6</c:v>
                </c:pt>
                <c:pt idx="10">
                  <c:v>1.6</c:v>
                </c:pt>
                <c:pt idx="11">
                  <c:v>1.6</c:v>
                </c:pt>
                <c:pt idx="12">
                  <c:v>1.6</c:v>
                </c:pt>
                <c:pt idx="13">
                  <c:v>1.6</c:v>
                </c:pt>
                <c:pt idx="14">
                  <c:v>1.6</c:v>
                </c:pt>
                <c:pt idx="15">
                  <c:v>1.6</c:v>
                </c:pt>
                <c:pt idx="16">
                  <c:v>1.6</c:v>
                </c:pt>
                <c:pt idx="17">
                  <c:v>1.6</c:v>
                </c:pt>
                <c:pt idx="18">
                  <c:v>1.6</c:v>
                </c:pt>
                <c:pt idx="19">
                  <c:v>1.6</c:v>
                </c:pt>
                <c:pt idx="20">
                  <c:v>1.6</c:v>
                </c:pt>
                <c:pt idx="21">
                  <c:v>1.6</c:v>
                </c:pt>
                <c:pt idx="22">
                  <c:v>1.6</c:v>
                </c:pt>
                <c:pt idx="23">
                  <c:v>1.6</c:v>
                </c:pt>
                <c:pt idx="24">
                  <c:v>1.6</c:v>
                </c:pt>
                <c:pt idx="25">
                  <c:v>1.6</c:v>
                </c:pt>
                <c:pt idx="26">
                  <c:v>1.6</c:v>
                </c:pt>
                <c:pt idx="27">
                  <c:v>1.6</c:v>
                </c:pt>
                <c:pt idx="28">
                  <c:v>1.6</c:v>
                </c:pt>
                <c:pt idx="29">
                  <c:v>1.6</c:v>
                </c:pt>
                <c:pt idx="30">
                  <c:v>1.6</c:v>
                </c:pt>
                <c:pt idx="31">
                  <c:v>1.6</c:v>
                </c:pt>
                <c:pt idx="32">
                  <c:v>1.6</c:v>
                </c:pt>
                <c:pt idx="33">
                  <c:v>1.6</c:v>
                </c:pt>
                <c:pt idx="34">
                  <c:v>1.6</c:v>
                </c:pt>
                <c:pt idx="35">
                  <c:v>1.6</c:v>
                </c:pt>
                <c:pt idx="36">
                  <c:v>1.6</c:v>
                </c:pt>
                <c:pt idx="37">
                  <c:v>1.6</c:v>
                </c:pt>
                <c:pt idx="38">
                  <c:v>1.6</c:v>
                </c:pt>
                <c:pt idx="39">
                  <c:v>1.6</c:v>
                </c:pt>
                <c:pt idx="40">
                  <c:v>1.6</c:v>
                </c:pt>
                <c:pt idx="41">
                  <c:v>1.6</c:v>
                </c:pt>
                <c:pt idx="42">
                  <c:v>1.6</c:v>
                </c:pt>
                <c:pt idx="43">
                  <c:v>1.6</c:v>
                </c:pt>
                <c:pt idx="44">
                  <c:v>1.6</c:v>
                </c:pt>
                <c:pt idx="45">
                  <c:v>1.6</c:v>
                </c:pt>
                <c:pt idx="46">
                  <c:v>1.6</c:v>
                </c:pt>
                <c:pt idx="47">
                  <c:v>1.6</c:v>
                </c:pt>
                <c:pt idx="48">
                  <c:v>1.6</c:v>
                </c:pt>
                <c:pt idx="49">
                  <c:v>1.6</c:v>
                </c:pt>
                <c:pt idx="50">
                  <c:v>1.6</c:v>
                </c:pt>
                <c:pt idx="51">
                  <c:v>1.6</c:v>
                </c:pt>
                <c:pt idx="52">
                  <c:v>1.6</c:v>
                </c:pt>
                <c:pt idx="53">
                  <c:v>1.6</c:v>
                </c:pt>
                <c:pt idx="54">
                  <c:v>1.6</c:v>
                </c:pt>
                <c:pt idx="55">
                  <c:v>1.6</c:v>
                </c:pt>
                <c:pt idx="56">
                  <c:v>1.6</c:v>
                </c:pt>
                <c:pt idx="57">
                  <c:v>1.6</c:v>
                </c:pt>
                <c:pt idx="58">
                  <c:v>1.6</c:v>
                </c:pt>
                <c:pt idx="59">
                  <c:v>1.6</c:v>
                </c:pt>
                <c:pt idx="60">
                  <c:v>1.6</c:v>
                </c:pt>
                <c:pt idx="61">
                  <c:v>1.6</c:v>
                </c:pt>
                <c:pt idx="62">
                  <c:v>1.6</c:v>
                </c:pt>
                <c:pt idx="63">
                  <c:v>1.6</c:v>
                </c:pt>
                <c:pt idx="64">
                  <c:v>1.6</c:v>
                </c:pt>
                <c:pt idx="65">
                  <c:v>1.6</c:v>
                </c:pt>
                <c:pt idx="66">
                  <c:v>1.6</c:v>
                </c:pt>
                <c:pt idx="67">
                  <c:v>1.6</c:v>
                </c:pt>
                <c:pt idx="68">
                  <c:v>1.6</c:v>
                </c:pt>
                <c:pt idx="69">
                  <c:v>1.6</c:v>
                </c:pt>
                <c:pt idx="70">
                  <c:v>1.6</c:v>
                </c:pt>
                <c:pt idx="71">
                  <c:v>1.6</c:v>
                </c:pt>
                <c:pt idx="72">
                  <c:v>1.6</c:v>
                </c:pt>
                <c:pt idx="73">
                  <c:v>1.6</c:v>
                </c:pt>
                <c:pt idx="74">
                  <c:v>1.6</c:v>
                </c:pt>
                <c:pt idx="75">
                  <c:v>1.6</c:v>
                </c:pt>
                <c:pt idx="76">
                  <c:v>1.6</c:v>
                </c:pt>
                <c:pt idx="77">
                  <c:v>1.6</c:v>
                </c:pt>
                <c:pt idx="78">
                  <c:v>1.6</c:v>
                </c:pt>
                <c:pt idx="79">
                  <c:v>1.6</c:v>
                </c:pt>
                <c:pt idx="80">
                  <c:v>1.6</c:v>
                </c:pt>
                <c:pt idx="81">
                  <c:v>1.6</c:v>
                </c:pt>
                <c:pt idx="82">
                  <c:v>1.6</c:v>
                </c:pt>
                <c:pt idx="83">
                  <c:v>1.6</c:v>
                </c:pt>
                <c:pt idx="84">
                  <c:v>1.6</c:v>
                </c:pt>
                <c:pt idx="85">
                  <c:v>1.6</c:v>
                </c:pt>
                <c:pt idx="86">
                  <c:v>1.6</c:v>
                </c:pt>
                <c:pt idx="87">
                  <c:v>1.6</c:v>
                </c:pt>
                <c:pt idx="88">
                  <c:v>1.6</c:v>
                </c:pt>
                <c:pt idx="89">
                  <c:v>1.6</c:v>
                </c:pt>
                <c:pt idx="90">
                  <c:v>1.6</c:v>
                </c:pt>
                <c:pt idx="91">
                  <c:v>1.6</c:v>
                </c:pt>
                <c:pt idx="92">
                  <c:v>1.6</c:v>
                </c:pt>
                <c:pt idx="93">
                  <c:v>1.6</c:v>
                </c:pt>
                <c:pt idx="94">
                  <c:v>1.6</c:v>
                </c:pt>
                <c:pt idx="95">
                  <c:v>1.6</c:v>
                </c:pt>
                <c:pt idx="96">
                  <c:v>1.6</c:v>
                </c:pt>
                <c:pt idx="97">
                  <c:v>1.6</c:v>
                </c:pt>
                <c:pt idx="98">
                  <c:v>1.6</c:v>
                </c:pt>
                <c:pt idx="99">
                  <c:v>1.6</c:v>
                </c:pt>
                <c:pt idx="100">
                  <c:v>1.6</c:v>
                </c:pt>
                <c:pt idx="101">
                  <c:v>1.6</c:v>
                </c:pt>
                <c:pt idx="102">
                  <c:v>1.6</c:v>
                </c:pt>
                <c:pt idx="103">
                  <c:v>1.6</c:v>
                </c:pt>
                <c:pt idx="104">
                  <c:v>1.6</c:v>
                </c:pt>
                <c:pt idx="105">
                  <c:v>1.6</c:v>
                </c:pt>
                <c:pt idx="106">
                  <c:v>1.6</c:v>
                </c:pt>
                <c:pt idx="107">
                  <c:v>1.6</c:v>
                </c:pt>
                <c:pt idx="108">
                  <c:v>1.6</c:v>
                </c:pt>
                <c:pt idx="109">
                  <c:v>1.6</c:v>
                </c:pt>
                <c:pt idx="110">
                  <c:v>1.6</c:v>
                </c:pt>
                <c:pt idx="111">
                  <c:v>1.6</c:v>
                </c:pt>
                <c:pt idx="112">
                  <c:v>1.6</c:v>
                </c:pt>
                <c:pt idx="113">
                  <c:v>1.6</c:v>
                </c:pt>
                <c:pt idx="114">
                  <c:v>1.6</c:v>
                </c:pt>
                <c:pt idx="115">
                  <c:v>1.6</c:v>
                </c:pt>
                <c:pt idx="116">
                  <c:v>1.6</c:v>
                </c:pt>
                <c:pt idx="117">
                  <c:v>1.6</c:v>
                </c:pt>
                <c:pt idx="118">
                  <c:v>1.6</c:v>
                </c:pt>
                <c:pt idx="119">
                  <c:v>1.6</c:v>
                </c:pt>
                <c:pt idx="120">
                  <c:v>1.6</c:v>
                </c:pt>
                <c:pt idx="121">
                  <c:v>1.6</c:v>
                </c:pt>
                <c:pt idx="122">
                  <c:v>1.6</c:v>
                </c:pt>
                <c:pt idx="123">
                  <c:v>1.6</c:v>
                </c:pt>
                <c:pt idx="124">
                  <c:v>1.6</c:v>
                </c:pt>
                <c:pt idx="125">
                  <c:v>1.6</c:v>
                </c:pt>
                <c:pt idx="126">
                  <c:v>1.6</c:v>
                </c:pt>
                <c:pt idx="127">
                  <c:v>1.6</c:v>
                </c:pt>
                <c:pt idx="128">
                  <c:v>1.6</c:v>
                </c:pt>
                <c:pt idx="129">
                  <c:v>1.6</c:v>
                </c:pt>
                <c:pt idx="130">
                  <c:v>1.6</c:v>
                </c:pt>
                <c:pt idx="131">
                  <c:v>1.6</c:v>
                </c:pt>
                <c:pt idx="132">
                  <c:v>1.6</c:v>
                </c:pt>
                <c:pt idx="133">
                  <c:v>1.6</c:v>
                </c:pt>
                <c:pt idx="134">
                  <c:v>1.6</c:v>
                </c:pt>
                <c:pt idx="135">
                  <c:v>1.6</c:v>
                </c:pt>
                <c:pt idx="136">
                  <c:v>1.6</c:v>
                </c:pt>
                <c:pt idx="137">
                  <c:v>1.6</c:v>
                </c:pt>
                <c:pt idx="138">
                  <c:v>1.6</c:v>
                </c:pt>
                <c:pt idx="139">
                  <c:v>1.6</c:v>
                </c:pt>
                <c:pt idx="140">
                  <c:v>1.6</c:v>
                </c:pt>
                <c:pt idx="141">
                  <c:v>1.6</c:v>
                </c:pt>
                <c:pt idx="142">
                  <c:v>1.6</c:v>
                </c:pt>
                <c:pt idx="143">
                  <c:v>1.6</c:v>
                </c:pt>
                <c:pt idx="144">
                  <c:v>1.6</c:v>
                </c:pt>
                <c:pt idx="145">
                  <c:v>1.6</c:v>
                </c:pt>
                <c:pt idx="146">
                  <c:v>1.6</c:v>
                </c:pt>
                <c:pt idx="147">
                  <c:v>1.6</c:v>
                </c:pt>
                <c:pt idx="148">
                  <c:v>1.6</c:v>
                </c:pt>
                <c:pt idx="149">
                  <c:v>1.6</c:v>
                </c:pt>
                <c:pt idx="150">
                  <c:v>1.6</c:v>
                </c:pt>
                <c:pt idx="151">
                  <c:v>1.6</c:v>
                </c:pt>
                <c:pt idx="152">
                  <c:v>1.6</c:v>
                </c:pt>
                <c:pt idx="153">
                  <c:v>1.6</c:v>
                </c:pt>
                <c:pt idx="154">
                  <c:v>1.6</c:v>
                </c:pt>
                <c:pt idx="155">
                  <c:v>1.6</c:v>
                </c:pt>
                <c:pt idx="156">
                  <c:v>1.6</c:v>
                </c:pt>
                <c:pt idx="157">
                  <c:v>1.6</c:v>
                </c:pt>
                <c:pt idx="158">
                  <c:v>1.6</c:v>
                </c:pt>
                <c:pt idx="159">
                  <c:v>1.6</c:v>
                </c:pt>
                <c:pt idx="160">
                  <c:v>1.6</c:v>
                </c:pt>
                <c:pt idx="161">
                  <c:v>1.6</c:v>
                </c:pt>
                <c:pt idx="162">
                  <c:v>1.6</c:v>
                </c:pt>
                <c:pt idx="163">
                  <c:v>1.6</c:v>
                </c:pt>
                <c:pt idx="164">
                  <c:v>1.6</c:v>
                </c:pt>
                <c:pt idx="165">
                  <c:v>1.6</c:v>
                </c:pt>
                <c:pt idx="166">
                  <c:v>1.6</c:v>
                </c:pt>
                <c:pt idx="167">
                  <c:v>1.6</c:v>
                </c:pt>
                <c:pt idx="168">
                  <c:v>1.6</c:v>
                </c:pt>
                <c:pt idx="169">
                  <c:v>1.6</c:v>
                </c:pt>
                <c:pt idx="170">
                  <c:v>1.6</c:v>
                </c:pt>
                <c:pt idx="171">
                  <c:v>1.6</c:v>
                </c:pt>
                <c:pt idx="172">
                  <c:v>1.6</c:v>
                </c:pt>
                <c:pt idx="173">
                  <c:v>1.6</c:v>
                </c:pt>
                <c:pt idx="174">
                  <c:v>1.6</c:v>
                </c:pt>
                <c:pt idx="175">
                  <c:v>1.6</c:v>
                </c:pt>
                <c:pt idx="176">
                  <c:v>1.6</c:v>
                </c:pt>
                <c:pt idx="177">
                  <c:v>1.6</c:v>
                </c:pt>
                <c:pt idx="178">
                  <c:v>1.6</c:v>
                </c:pt>
                <c:pt idx="179">
                  <c:v>1.6</c:v>
                </c:pt>
                <c:pt idx="180">
                  <c:v>1.6</c:v>
                </c:pt>
                <c:pt idx="181">
                  <c:v>1.6</c:v>
                </c:pt>
                <c:pt idx="182">
                  <c:v>1.6</c:v>
                </c:pt>
                <c:pt idx="183">
                  <c:v>1.6</c:v>
                </c:pt>
                <c:pt idx="184">
                  <c:v>1.6</c:v>
                </c:pt>
                <c:pt idx="185">
                  <c:v>1.6</c:v>
                </c:pt>
                <c:pt idx="186">
                  <c:v>1.6</c:v>
                </c:pt>
                <c:pt idx="187">
                  <c:v>1.6</c:v>
                </c:pt>
                <c:pt idx="188">
                  <c:v>1.6</c:v>
                </c:pt>
                <c:pt idx="189">
                  <c:v>1.6</c:v>
                </c:pt>
                <c:pt idx="190">
                  <c:v>1.6</c:v>
                </c:pt>
                <c:pt idx="191">
                  <c:v>1.6</c:v>
                </c:pt>
                <c:pt idx="192">
                  <c:v>1.6</c:v>
                </c:pt>
                <c:pt idx="193">
                  <c:v>1.6</c:v>
                </c:pt>
                <c:pt idx="194">
                  <c:v>1.6</c:v>
                </c:pt>
                <c:pt idx="195">
                  <c:v>1.6</c:v>
                </c:pt>
                <c:pt idx="196">
                  <c:v>1.6</c:v>
                </c:pt>
                <c:pt idx="197">
                  <c:v>1.6</c:v>
                </c:pt>
                <c:pt idx="198">
                  <c:v>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5-4BEF-ACEA-CBBF3B5A1D24}"/>
            </c:ext>
          </c:extLst>
        </c:ser>
        <c:ser>
          <c:idx val="3"/>
          <c:order val="3"/>
          <c:tx>
            <c:v>Titer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9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A15-4BEF-ACEA-CBBF3B5A1D24}"/>
                </c:ext>
              </c:extLst>
            </c:dLbl>
            <c:spPr>
              <a:solidFill>
                <a:srgbClr val="E7E6E6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errBars>
            <c:errDir val="x"/>
            <c:errBarType val="minus"/>
            <c:errValType val="percentage"/>
            <c:noEndCap val="0"/>
            <c:val val="0"/>
            <c:spPr>
              <a:noFill/>
              <a:ln w="9525">
                <a:solidFill>
                  <a:schemeClr val="tx2">
                    <a:lumMod val="7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minus"/>
            <c:errValType val="percentage"/>
            <c:noEndCap val="1"/>
            <c:val val="100"/>
            <c:spPr>
              <a:noFill/>
              <a:ln w="9525">
                <a:solidFill>
                  <a:schemeClr val="bg1">
                    <a:lumMod val="65000"/>
                  </a:schemeClr>
                </a:solidFill>
                <a:round/>
              </a:ln>
              <a:effectLst/>
            </c:spPr>
          </c:errBars>
          <c:xVal>
            <c:numRef>
              <c:f>Regression_back!$M$2:$M$11</c:f>
            </c:numRef>
          </c:xVal>
          <c:yVal>
            <c:numRef>
              <c:f>Regression_back!$N$2:$N$11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15-4BEF-ACEA-CBBF3B5A1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499000"/>
        <c:axId val="542499656"/>
      </c:scatterChart>
      <c:valAx>
        <c:axId val="54249900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499656"/>
        <c:crosses val="autoZero"/>
        <c:crossBetween val="midCat"/>
      </c:valAx>
      <c:valAx>
        <c:axId val="542499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Signal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499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5333440812429229"/>
          <c:y val="5.1956003577500638E-3"/>
          <c:w val="0.14666559187570746"/>
          <c:h val="0.112700802315283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1600" baseline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159685</xdr:colOff>
      <xdr:row>8</xdr:row>
      <xdr:rowOff>76200</xdr:rowOff>
    </xdr:from>
    <xdr:to>
      <xdr:col>15</xdr:col>
      <xdr:colOff>358590</xdr:colOff>
      <xdr:row>35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213360</xdr:rowOff>
        </xdr:from>
        <xdr:to>
          <xdr:col>13</xdr:col>
          <xdr:colOff>388620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304800</xdr:rowOff>
    </xdr:to>
    <xdr:sp macro="" textlink="">
      <xdr:nvSpPr>
        <xdr:cNvPr id="1026" name="AutoShape 2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304800</xdr:rowOff>
    </xdr:to>
    <xdr:sp macro="" textlink="">
      <xdr:nvSpPr>
        <xdr:cNvPr id="1027" name="AutoShape 3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19018-B401-419E-A167-0356612EFCC9}">
  <sheetPr codeName="Sheet1">
    <pageSetUpPr autoPageBreaks="0"/>
  </sheetPr>
  <dimension ref="A1:R209"/>
  <sheetViews>
    <sheetView showGridLines="0" tabSelected="1" zoomScaleNormal="100" workbookViewId="0">
      <selection activeCell="C6" sqref="C6"/>
    </sheetView>
  </sheetViews>
  <sheetFormatPr defaultColWidth="8.44140625" defaultRowHeight="14.4" zeroHeight="1" x14ac:dyDescent="0.3"/>
  <cols>
    <col min="1" max="1" width="18.6640625" style="9" customWidth="1"/>
    <col min="2" max="2" width="19" style="9" customWidth="1"/>
    <col min="3" max="3" width="11.5546875" style="9" customWidth="1"/>
    <col min="4" max="4" width="7.33203125" style="9" customWidth="1"/>
    <col min="5" max="5" width="8.5546875" style="9" customWidth="1"/>
    <col min="6" max="6" width="8.44140625" style="9"/>
    <col min="7" max="7" width="15.109375" style="9" bestFit="1" customWidth="1"/>
    <col min="8" max="8" width="17.5546875" style="9" customWidth="1"/>
    <col min="9" max="9" width="13.5546875" style="9" bestFit="1" customWidth="1"/>
    <col min="10" max="10" width="8.44140625" style="9"/>
    <col min="11" max="11" width="9.44140625" style="9" bestFit="1" customWidth="1"/>
    <col min="12" max="12" width="20.88671875" style="9" bestFit="1" customWidth="1"/>
    <col min="13" max="16" width="8.44140625" style="9"/>
    <col min="17" max="17" width="15.109375" style="9" bestFit="1" customWidth="1"/>
    <col min="18" max="18" width="11.33203125" style="9" bestFit="1" customWidth="1"/>
    <col min="19" max="16384" width="8.44140625" style="9"/>
  </cols>
  <sheetData>
    <row r="1" spans="1:18" ht="40.5" customHeight="1" x14ac:dyDescent="0.3">
      <c r="A1" s="22" t="s">
        <v>18</v>
      </c>
      <c r="B1" s="10"/>
    </row>
    <row r="2" spans="1:18" ht="18.75" customHeight="1" x14ac:dyDescent="0.35">
      <c r="A2" s="11" t="s">
        <v>9</v>
      </c>
      <c r="B2" s="12"/>
      <c r="C2" s="13"/>
      <c r="D2" s="13"/>
      <c r="E2" s="13"/>
      <c r="F2" s="13"/>
      <c r="G2" s="13"/>
    </row>
    <row r="3" spans="1:18" ht="49.8" customHeight="1" x14ac:dyDescent="0.3">
      <c r="A3" s="27" t="s">
        <v>19</v>
      </c>
      <c r="B3" s="27"/>
      <c r="C3" s="27"/>
      <c r="D3" s="27"/>
      <c r="E3" s="27"/>
      <c r="F3" s="27"/>
      <c r="G3" s="27"/>
      <c r="H3" s="27"/>
      <c r="I3" s="27"/>
      <c r="J3" s="21"/>
      <c r="K3" s="21"/>
      <c r="L3" s="21"/>
      <c r="M3" s="21"/>
      <c r="N3" s="21"/>
      <c r="O3" s="21"/>
      <c r="P3" s="21"/>
      <c r="Q3" s="21"/>
      <c r="R3" s="21"/>
    </row>
    <row r="4" spans="1:18" ht="4.5" customHeight="1" thickBot="1" x14ac:dyDescent="0.35">
      <c r="A4" s="10"/>
    </row>
    <row r="5" spans="1:18" ht="18.600000000000001" thickBot="1" x14ac:dyDescent="0.4">
      <c r="A5" s="20" t="s">
        <v>1</v>
      </c>
      <c r="B5" s="20" t="s">
        <v>2</v>
      </c>
      <c r="G5" s="24" t="s">
        <v>8</v>
      </c>
      <c r="H5" s="25"/>
      <c r="I5" s="26"/>
      <c r="J5" s="13"/>
      <c r="K5" s="13"/>
      <c r="L5" s="13"/>
    </row>
    <row r="6" spans="1:18" ht="18.600000000000001" thickBot="1" x14ac:dyDescent="0.4">
      <c r="A6" s="1"/>
      <c r="B6" s="1"/>
      <c r="C6" s="14"/>
      <c r="G6" s="4" t="s">
        <v>10</v>
      </c>
      <c r="H6" s="6">
        <v>2</v>
      </c>
      <c r="I6" s="5" t="s">
        <v>14</v>
      </c>
      <c r="J6" s="13"/>
      <c r="K6" s="13"/>
    </row>
    <row r="7" spans="1:18" ht="18.600000000000001" thickBot="1" x14ac:dyDescent="0.4">
      <c r="A7" s="1"/>
      <c r="B7" s="1"/>
      <c r="G7" s="3" t="s">
        <v>11</v>
      </c>
      <c r="H7" s="7">
        <v>1.6</v>
      </c>
      <c r="I7" s="2" t="s">
        <v>13</v>
      </c>
      <c r="J7" s="13"/>
      <c r="K7" s="13"/>
      <c r="L7" s="13"/>
    </row>
    <row r="8" spans="1:18" ht="18.600000000000001" thickBot="1" x14ac:dyDescent="0.4">
      <c r="A8" s="1"/>
      <c r="B8" s="1"/>
      <c r="G8" s="8" t="s">
        <v>12</v>
      </c>
      <c r="H8" s="23"/>
      <c r="I8" s="5"/>
      <c r="J8" s="13"/>
      <c r="K8" s="13"/>
      <c r="L8" s="13"/>
    </row>
    <row r="9" spans="1:18" ht="18" x14ac:dyDescent="0.35">
      <c r="A9" s="1"/>
      <c r="B9" s="1"/>
      <c r="I9" s="15"/>
      <c r="J9" s="13"/>
      <c r="K9" s="13"/>
      <c r="L9" s="13"/>
    </row>
    <row r="10" spans="1:18" ht="18" x14ac:dyDescent="0.35">
      <c r="A10" s="1"/>
      <c r="B10" s="1"/>
      <c r="G10" s="16"/>
      <c r="H10" s="16"/>
      <c r="I10" s="15"/>
      <c r="J10" s="13"/>
      <c r="K10" s="13"/>
      <c r="L10" s="13"/>
      <c r="M10" s="13"/>
      <c r="N10" s="13"/>
      <c r="O10" s="13"/>
    </row>
    <row r="11" spans="1:18" ht="18" x14ac:dyDescent="0.35">
      <c r="A11" s="1"/>
      <c r="B11" s="1"/>
      <c r="G11" s="17"/>
      <c r="H11" s="18"/>
      <c r="I11" s="13"/>
      <c r="J11" s="13"/>
      <c r="K11" s="13"/>
      <c r="L11" s="13"/>
      <c r="M11" s="13"/>
      <c r="N11" s="13"/>
      <c r="O11" s="13"/>
    </row>
    <row r="12" spans="1:18" x14ac:dyDescent="0.3">
      <c r="A12" s="1"/>
      <c r="B12" s="1"/>
    </row>
    <row r="13" spans="1:18" x14ac:dyDescent="0.3">
      <c r="A13" s="1"/>
      <c r="B13" s="1"/>
    </row>
    <row r="14" spans="1:18" x14ac:dyDescent="0.3">
      <c r="A14" s="1"/>
      <c r="B14" s="1"/>
    </row>
    <row r="15" spans="1:18" x14ac:dyDescent="0.3">
      <c r="A15" s="1"/>
      <c r="B15" s="1"/>
    </row>
    <row r="16" spans="1:18" x14ac:dyDescent="0.3">
      <c r="A16" s="1"/>
      <c r="B16" s="1"/>
    </row>
    <row r="17" spans="1:2" x14ac:dyDescent="0.3">
      <c r="A17" s="1"/>
      <c r="B17" s="1"/>
    </row>
    <row r="18" spans="1:2" x14ac:dyDescent="0.3">
      <c r="A18" s="1"/>
      <c r="B18" s="1"/>
    </row>
    <row r="19" spans="1:2" x14ac:dyDescent="0.3">
      <c r="A19" s="1"/>
      <c r="B19" s="1"/>
    </row>
    <row r="20" spans="1:2" x14ac:dyDescent="0.3">
      <c r="A20" s="1"/>
      <c r="B20" s="1"/>
    </row>
    <row r="21" spans="1:2" x14ac:dyDescent="0.3">
      <c r="A21" s="1"/>
      <c r="B21" s="1"/>
    </row>
    <row r="22" spans="1:2" x14ac:dyDescent="0.3">
      <c r="A22" s="1"/>
      <c r="B22" s="1"/>
    </row>
    <row r="23" spans="1:2" x14ac:dyDescent="0.3">
      <c r="A23" s="1"/>
      <c r="B23" s="1"/>
    </row>
    <row r="24" spans="1:2" x14ac:dyDescent="0.3">
      <c r="A24" s="1"/>
      <c r="B24" s="1"/>
    </row>
    <row r="25" spans="1:2" x14ac:dyDescent="0.3">
      <c r="A25" s="1"/>
      <c r="B25" s="1"/>
    </row>
    <row r="26" spans="1:2" x14ac:dyDescent="0.3">
      <c r="A26" s="1"/>
      <c r="B26" s="1"/>
    </row>
    <row r="27" spans="1:2" x14ac:dyDescent="0.3">
      <c r="A27" s="1"/>
      <c r="B27" s="1"/>
    </row>
    <row r="28" spans="1:2" x14ac:dyDescent="0.3">
      <c r="A28" s="1"/>
      <c r="B28" s="1"/>
    </row>
    <row r="29" spans="1:2" x14ac:dyDescent="0.3">
      <c r="A29" s="1"/>
      <c r="B29" s="1"/>
    </row>
    <row r="30" spans="1:2" x14ac:dyDescent="0.3">
      <c r="A30" s="1"/>
      <c r="B30" s="1"/>
    </row>
    <row r="31" spans="1:2" x14ac:dyDescent="0.3">
      <c r="A31" s="1"/>
      <c r="B31" s="1"/>
    </row>
    <row r="32" spans="1:2" x14ac:dyDescent="0.3">
      <c r="A32" s="1"/>
      <c r="B32" s="1"/>
    </row>
    <row r="33" spans="1:2" x14ac:dyDescent="0.3">
      <c r="A33" s="1"/>
      <c r="B33" s="1"/>
    </row>
    <row r="34" spans="1:2" x14ac:dyDescent="0.3">
      <c r="A34" s="1"/>
      <c r="B34" s="1"/>
    </row>
    <row r="35" spans="1:2" x14ac:dyDescent="0.3">
      <c r="A35" s="1"/>
      <c r="B35" s="1"/>
    </row>
    <row r="36" spans="1:2" x14ac:dyDescent="0.3">
      <c r="A36" s="1"/>
      <c r="B36" s="1"/>
    </row>
    <row r="37" spans="1:2" x14ac:dyDescent="0.3">
      <c r="A37" s="1"/>
      <c r="B37" s="1"/>
    </row>
    <row r="38" spans="1:2" x14ac:dyDescent="0.3">
      <c r="A38" s="1"/>
      <c r="B38" s="1"/>
    </row>
    <row r="39" spans="1:2" x14ac:dyDescent="0.3">
      <c r="A39" s="1"/>
      <c r="B39" s="1"/>
    </row>
    <row r="40" spans="1:2" x14ac:dyDescent="0.3">
      <c r="A40" s="1"/>
      <c r="B40" s="1"/>
    </row>
    <row r="41" spans="1:2" x14ac:dyDescent="0.3">
      <c r="A41" s="1"/>
      <c r="B41" s="1"/>
    </row>
    <row r="42" spans="1:2" x14ac:dyDescent="0.3">
      <c r="A42" s="1"/>
      <c r="B42" s="1"/>
    </row>
    <row r="43" spans="1:2" x14ac:dyDescent="0.3">
      <c r="A43" s="1"/>
      <c r="B43" s="1"/>
    </row>
    <row r="44" spans="1:2" x14ac:dyDescent="0.3">
      <c r="A44" s="1"/>
      <c r="B44" s="1"/>
    </row>
    <row r="45" spans="1:2" x14ac:dyDescent="0.3">
      <c r="A45" s="1"/>
      <c r="B45" s="1"/>
    </row>
    <row r="46" spans="1:2" x14ac:dyDescent="0.3">
      <c r="A46" s="1"/>
      <c r="B46" s="1"/>
    </row>
    <row r="47" spans="1:2" x14ac:dyDescent="0.3">
      <c r="A47" s="1"/>
      <c r="B47" s="1"/>
    </row>
    <row r="48" spans="1:2" x14ac:dyDescent="0.3">
      <c r="A48" s="1"/>
      <c r="B48" s="1"/>
    </row>
    <row r="49" spans="1:2" x14ac:dyDescent="0.3">
      <c r="A49" s="1"/>
      <c r="B49" s="1"/>
    </row>
    <row r="50" spans="1:2" x14ac:dyDescent="0.3">
      <c r="A50" s="1"/>
      <c r="B50" s="1"/>
    </row>
    <row r="51" spans="1:2" x14ac:dyDescent="0.3">
      <c r="A51" s="1"/>
      <c r="B51" s="1"/>
    </row>
    <row r="52" spans="1:2" x14ac:dyDescent="0.3">
      <c r="A52" s="1"/>
      <c r="B52" s="1"/>
    </row>
    <row r="53" spans="1:2" x14ac:dyDescent="0.3">
      <c r="A53" s="1"/>
      <c r="B53" s="1"/>
    </row>
    <row r="54" spans="1:2" x14ac:dyDescent="0.3">
      <c r="A54" s="1"/>
      <c r="B54" s="1"/>
    </row>
    <row r="55" spans="1:2" x14ac:dyDescent="0.3">
      <c r="A55" s="1"/>
      <c r="B55" s="1"/>
    </row>
    <row r="56" spans="1:2" x14ac:dyDescent="0.3">
      <c r="A56" s="1"/>
      <c r="B56" s="1"/>
    </row>
    <row r="57" spans="1:2" x14ac:dyDescent="0.3">
      <c r="A57" s="1"/>
      <c r="B57" s="1"/>
    </row>
    <row r="58" spans="1:2" x14ac:dyDescent="0.3">
      <c r="A58" s="1"/>
      <c r="B58" s="1"/>
    </row>
    <row r="59" spans="1:2" x14ac:dyDescent="0.3">
      <c r="A59" s="1"/>
      <c r="B59" s="1"/>
    </row>
    <row r="60" spans="1:2" x14ac:dyDescent="0.3">
      <c r="A60" s="1"/>
      <c r="B60" s="1"/>
    </row>
    <row r="61" spans="1:2" x14ac:dyDescent="0.3">
      <c r="A61" s="1"/>
      <c r="B61" s="1"/>
    </row>
    <row r="62" spans="1:2" x14ac:dyDescent="0.3">
      <c r="A62" s="1"/>
      <c r="B62" s="1"/>
    </row>
    <row r="63" spans="1:2" x14ac:dyDescent="0.3">
      <c r="A63" s="1"/>
      <c r="B63" s="1"/>
    </row>
    <row r="64" spans="1:2" x14ac:dyDescent="0.3">
      <c r="A64" s="1"/>
      <c r="B64" s="1"/>
    </row>
    <row r="65" spans="1:2" x14ac:dyDescent="0.3">
      <c r="A65" s="1"/>
      <c r="B65" s="1"/>
    </row>
    <row r="66" spans="1:2" x14ac:dyDescent="0.3">
      <c r="A66" s="1"/>
      <c r="B66" s="1"/>
    </row>
    <row r="67" spans="1:2" x14ac:dyDescent="0.3">
      <c r="A67" s="1"/>
      <c r="B67" s="1"/>
    </row>
    <row r="68" spans="1:2" x14ac:dyDescent="0.3">
      <c r="A68" s="1"/>
      <c r="B68" s="1"/>
    </row>
    <row r="69" spans="1:2" x14ac:dyDescent="0.3">
      <c r="A69" s="1"/>
      <c r="B69" s="1"/>
    </row>
    <row r="70" spans="1:2" x14ac:dyDescent="0.3">
      <c r="A70" s="1"/>
      <c r="B70" s="1"/>
    </row>
    <row r="71" spans="1:2" x14ac:dyDescent="0.3">
      <c r="A71" s="1"/>
      <c r="B71" s="1"/>
    </row>
    <row r="72" spans="1:2" x14ac:dyDescent="0.3">
      <c r="A72" s="1"/>
      <c r="B72" s="1"/>
    </row>
    <row r="73" spans="1:2" x14ac:dyDescent="0.3">
      <c r="A73" s="1"/>
      <c r="B73" s="1"/>
    </row>
    <row r="74" spans="1:2" x14ac:dyDescent="0.3">
      <c r="A74" s="1"/>
      <c r="B74" s="1"/>
    </row>
    <row r="75" spans="1:2" x14ac:dyDescent="0.3">
      <c r="A75" s="1"/>
      <c r="B75" s="1"/>
    </row>
    <row r="76" spans="1:2" x14ac:dyDescent="0.3">
      <c r="A76" s="1"/>
      <c r="B76" s="1"/>
    </row>
    <row r="77" spans="1:2" x14ac:dyDescent="0.3">
      <c r="A77" s="1"/>
      <c r="B77" s="1"/>
    </row>
    <row r="78" spans="1:2" x14ac:dyDescent="0.3">
      <c r="A78" s="1"/>
      <c r="B78" s="1"/>
    </row>
    <row r="79" spans="1:2" x14ac:dyDescent="0.3">
      <c r="A79" s="1"/>
      <c r="B79" s="1"/>
    </row>
    <row r="80" spans="1:2" x14ac:dyDescent="0.3">
      <c r="A80" s="1"/>
      <c r="B80" s="1"/>
    </row>
    <row r="81" spans="1:2" x14ac:dyDescent="0.3">
      <c r="A81" s="1"/>
      <c r="B81" s="1"/>
    </row>
    <row r="82" spans="1:2" x14ac:dyDescent="0.3">
      <c r="A82" s="1"/>
      <c r="B82" s="1"/>
    </row>
    <row r="83" spans="1:2" x14ac:dyDescent="0.3">
      <c r="A83" s="1"/>
      <c r="B83" s="1"/>
    </row>
    <row r="84" spans="1:2" x14ac:dyDescent="0.3">
      <c r="A84" s="1"/>
      <c r="B84" s="1"/>
    </row>
    <row r="85" spans="1:2" x14ac:dyDescent="0.3">
      <c r="A85" s="1"/>
      <c r="B85" s="1"/>
    </row>
    <row r="86" spans="1:2" x14ac:dyDescent="0.3">
      <c r="A86" s="1"/>
      <c r="B86" s="1"/>
    </row>
    <row r="87" spans="1:2" x14ac:dyDescent="0.3">
      <c r="A87" s="1"/>
      <c r="B87" s="1"/>
    </row>
    <row r="88" spans="1:2" x14ac:dyDescent="0.3">
      <c r="A88" s="1"/>
      <c r="B88" s="1"/>
    </row>
    <row r="89" spans="1:2" x14ac:dyDescent="0.3">
      <c r="A89" s="1"/>
      <c r="B89" s="1"/>
    </row>
    <row r="90" spans="1:2" x14ac:dyDescent="0.3">
      <c r="A90" s="1"/>
      <c r="B90" s="1"/>
    </row>
    <row r="91" spans="1:2" x14ac:dyDescent="0.3">
      <c r="A91" s="1"/>
      <c r="B91" s="1"/>
    </row>
    <row r="92" spans="1:2" x14ac:dyDescent="0.3">
      <c r="A92" s="1"/>
      <c r="B92" s="1"/>
    </row>
    <row r="93" spans="1:2" x14ac:dyDescent="0.3">
      <c r="A93" s="1"/>
      <c r="B93" s="1"/>
    </row>
    <row r="94" spans="1:2" x14ac:dyDescent="0.3">
      <c r="A94" s="1"/>
      <c r="B94" s="1"/>
    </row>
    <row r="95" spans="1:2" x14ac:dyDescent="0.3">
      <c r="A95" s="1"/>
      <c r="B95" s="1"/>
    </row>
    <row r="96" spans="1:2" x14ac:dyDescent="0.3">
      <c r="A96" s="1"/>
      <c r="B96" s="1"/>
    </row>
    <row r="97" spans="1:2" x14ac:dyDescent="0.3">
      <c r="A97" s="1"/>
      <c r="B97" s="1"/>
    </row>
    <row r="98" spans="1:2" x14ac:dyDescent="0.3">
      <c r="A98" s="1"/>
      <c r="B98" s="1"/>
    </row>
    <row r="99" spans="1:2" x14ac:dyDescent="0.3">
      <c r="A99" s="1"/>
      <c r="B99" s="1"/>
    </row>
    <row r="100" spans="1:2" x14ac:dyDescent="0.3">
      <c r="A100" s="1"/>
      <c r="B100" s="1"/>
    </row>
    <row r="101" spans="1:2" x14ac:dyDescent="0.3">
      <c r="A101" s="1"/>
      <c r="B101" s="1"/>
    </row>
    <row r="102" spans="1:2" x14ac:dyDescent="0.3">
      <c r="A102" s="1"/>
      <c r="B102" s="1"/>
    </row>
    <row r="103" spans="1:2" x14ac:dyDescent="0.3">
      <c r="A103" s="1"/>
      <c r="B103" s="1"/>
    </row>
    <row r="104" spans="1:2" x14ac:dyDescent="0.3">
      <c r="A104" s="1"/>
      <c r="B104" s="1"/>
    </row>
    <row r="105" spans="1:2" x14ac:dyDescent="0.3">
      <c r="A105" s="1"/>
      <c r="B105" s="1"/>
    </row>
    <row r="106" spans="1:2" x14ac:dyDescent="0.3">
      <c r="A106" s="1"/>
      <c r="B106" s="1"/>
    </row>
    <row r="107" spans="1:2" x14ac:dyDescent="0.3">
      <c r="A107" s="1"/>
      <c r="B107" s="1"/>
    </row>
    <row r="108" spans="1:2" x14ac:dyDescent="0.3">
      <c r="A108" s="1"/>
      <c r="B108" s="1"/>
    </row>
    <row r="109" spans="1:2" x14ac:dyDescent="0.3">
      <c r="A109" s="1"/>
      <c r="B109" s="1"/>
    </row>
    <row r="110" spans="1:2" x14ac:dyDescent="0.3">
      <c r="A110" s="1"/>
      <c r="B110" s="1"/>
    </row>
    <row r="111" spans="1:2" x14ac:dyDescent="0.3">
      <c r="A111" s="1"/>
      <c r="B111" s="1"/>
    </row>
    <row r="112" spans="1:2" x14ac:dyDescent="0.3">
      <c r="A112" s="1"/>
      <c r="B112" s="1"/>
    </row>
    <row r="113" spans="1:2" x14ac:dyDescent="0.3">
      <c r="A113" s="1"/>
      <c r="B113" s="1"/>
    </row>
    <row r="114" spans="1:2" x14ac:dyDescent="0.3">
      <c r="A114" s="1"/>
      <c r="B114" s="1"/>
    </row>
    <row r="115" spans="1:2" x14ac:dyDescent="0.3">
      <c r="A115" s="1"/>
      <c r="B115" s="1"/>
    </row>
    <row r="116" spans="1:2" x14ac:dyDescent="0.3">
      <c r="A116" s="1"/>
      <c r="B116" s="1"/>
    </row>
    <row r="117" spans="1:2" x14ac:dyDescent="0.3">
      <c r="A117" s="1"/>
      <c r="B117" s="1"/>
    </row>
    <row r="118" spans="1:2" x14ac:dyDescent="0.3">
      <c r="A118" s="1"/>
      <c r="B118" s="1"/>
    </row>
    <row r="119" spans="1:2" x14ac:dyDescent="0.3">
      <c r="A119" s="1"/>
      <c r="B119" s="1"/>
    </row>
    <row r="120" spans="1:2" x14ac:dyDescent="0.3">
      <c r="A120" s="1"/>
      <c r="B120" s="1"/>
    </row>
    <row r="121" spans="1:2" x14ac:dyDescent="0.3">
      <c r="A121" s="1"/>
      <c r="B121" s="1"/>
    </row>
    <row r="122" spans="1:2" x14ac:dyDescent="0.3">
      <c r="A122" s="1"/>
      <c r="B122" s="1"/>
    </row>
    <row r="123" spans="1:2" x14ac:dyDescent="0.3">
      <c r="A123" s="1"/>
      <c r="B123" s="1"/>
    </row>
    <row r="124" spans="1:2" x14ac:dyDescent="0.3">
      <c r="A124" s="1"/>
      <c r="B124" s="1"/>
    </row>
    <row r="125" spans="1:2" x14ac:dyDescent="0.3">
      <c r="A125" s="1"/>
      <c r="B125" s="1"/>
    </row>
    <row r="126" spans="1:2" x14ac:dyDescent="0.3">
      <c r="A126" s="1"/>
      <c r="B126" s="1"/>
    </row>
    <row r="127" spans="1:2" x14ac:dyDescent="0.3">
      <c r="A127" s="1"/>
      <c r="B127" s="1"/>
    </row>
    <row r="128" spans="1:2" x14ac:dyDescent="0.3">
      <c r="A128" s="1"/>
      <c r="B128" s="1"/>
    </row>
    <row r="129" spans="1:2" x14ac:dyDescent="0.3">
      <c r="A129" s="1"/>
      <c r="B129" s="1"/>
    </row>
    <row r="130" spans="1:2" x14ac:dyDescent="0.3">
      <c r="A130" s="1"/>
      <c r="B130" s="1"/>
    </row>
    <row r="131" spans="1:2" x14ac:dyDescent="0.3">
      <c r="A131" s="1"/>
      <c r="B131" s="1"/>
    </row>
    <row r="132" spans="1:2" x14ac:dyDescent="0.3">
      <c r="A132" s="1"/>
      <c r="B132" s="1"/>
    </row>
    <row r="133" spans="1:2" x14ac:dyDescent="0.3">
      <c r="A133" s="1"/>
      <c r="B133" s="1"/>
    </row>
    <row r="134" spans="1:2" x14ac:dyDescent="0.3">
      <c r="A134" s="1"/>
      <c r="B134" s="1"/>
    </row>
    <row r="135" spans="1:2" x14ac:dyDescent="0.3">
      <c r="A135" s="1"/>
      <c r="B135" s="1"/>
    </row>
    <row r="136" spans="1:2" x14ac:dyDescent="0.3">
      <c r="A136" s="1"/>
      <c r="B136" s="1"/>
    </row>
    <row r="137" spans="1:2" x14ac:dyDescent="0.3">
      <c r="A137" s="1"/>
      <c r="B137" s="1"/>
    </row>
    <row r="138" spans="1:2" x14ac:dyDescent="0.3">
      <c r="A138" s="1"/>
      <c r="B138" s="1"/>
    </row>
    <row r="139" spans="1:2" x14ac:dyDescent="0.3">
      <c r="A139" s="1"/>
      <c r="B139" s="1"/>
    </row>
    <row r="140" spans="1:2" x14ac:dyDescent="0.3">
      <c r="A140" s="1"/>
      <c r="B140" s="1"/>
    </row>
    <row r="141" spans="1:2" x14ac:dyDescent="0.3">
      <c r="A141" s="1"/>
      <c r="B141" s="1"/>
    </row>
    <row r="142" spans="1:2" x14ac:dyDescent="0.3">
      <c r="A142" s="1"/>
      <c r="B142" s="1"/>
    </row>
    <row r="143" spans="1:2" x14ac:dyDescent="0.3">
      <c r="A143" s="1"/>
      <c r="B143" s="1"/>
    </row>
    <row r="144" spans="1:2" x14ac:dyDescent="0.3">
      <c r="A144" s="1"/>
      <c r="B144" s="1"/>
    </row>
    <row r="145" spans="1:2" x14ac:dyDescent="0.3">
      <c r="A145" s="1"/>
      <c r="B145" s="1"/>
    </row>
    <row r="146" spans="1:2" x14ac:dyDescent="0.3">
      <c r="A146" s="1"/>
      <c r="B146" s="1"/>
    </row>
    <row r="147" spans="1:2" x14ac:dyDescent="0.3">
      <c r="A147" s="1"/>
      <c r="B147" s="1"/>
    </row>
    <row r="148" spans="1:2" x14ac:dyDescent="0.3">
      <c r="A148" s="1"/>
      <c r="B148" s="1"/>
    </row>
    <row r="149" spans="1:2" x14ac:dyDescent="0.3">
      <c r="A149" s="1"/>
      <c r="B149" s="1"/>
    </row>
    <row r="150" spans="1:2" x14ac:dyDescent="0.3">
      <c r="A150" s="1"/>
      <c r="B150" s="1"/>
    </row>
    <row r="151" spans="1:2" x14ac:dyDescent="0.3">
      <c r="A151" s="1"/>
      <c r="B151" s="1"/>
    </row>
    <row r="152" spans="1:2" x14ac:dyDescent="0.3">
      <c r="A152" s="1"/>
      <c r="B152" s="1"/>
    </row>
    <row r="153" spans="1:2" x14ac:dyDescent="0.3">
      <c r="A153" s="1"/>
      <c r="B153" s="1"/>
    </row>
    <row r="154" spans="1:2" x14ac:dyDescent="0.3">
      <c r="A154" s="1"/>
      <c r="B154" s="1"/>
    </row>
    <row r="155" spans="1:2" x14ac:dyDescent="0.3">
      <c r="A155" s="1"/>
      <c r="B155" s="1"/>
    </row>
    <row r="156" spans="1:2" x14ac:dyDescent="0.3">
      <c r="A156" s="1"/>
      <c r="B156" s="1"/>
    </row>
    <row r="157" spans="1:2" x14ac:dyDescent="0.3">
      <c r="A157" s="1"/>
      <c r="B157" s="1"/>
    </row>
    <row r="158" spans="1:2" x14ac:dyDescent="0.3">
      <c r="A158" s="1"/>
      <c r="B158" s="1"/>
    </row>
    <row r="159" spans="1:2" x14ac:dyDescent="0.3">
      <c r="A159" s="1"/>
      <c r="B159" s="1"/>
    </row>
    <row r="160" spans="1:2" x14ac:dyDescent="0.3">
      <c r="A160" s="1"/>
      <c r="B160" s="1"/>
    </row>
    <row r="161" spans="1:2" x14ac:dyDescent="0.3">
      <c r="A161" s="1"/>
      <c r="B161" s="1"/>
    </row>
    <row r="162" spans="1:2" x14ac:dyDescent="0.3">
      <c r="A162" s="1"/>
      <c r="B162" s="1"/>
    </row>
    <row r="163" spans="1:2" x14ac:dyDescent="0.3">
      <c r="A163" s="1"/>
      <c r="B163" s="1"/>
    </row>
    <row r="164" spans="1:2" x14ac:dyDescent="0.3">
      <c r="A164" s="1"/>
      <c r="B164" s="1"/>
    </row>
    <row r="165" spans="1:2" x14ac:dyDescent="0.3">
      <c r="A165" s="1"/>
      <c r="B165" s="1"/>
    </row>
    <row r="166" spans="1:2" x14ac:dyDescent="0.3">
      <c r="A166" s="1"/>
      <c r="B166" s="1"/>
    </row>
    <row r="167" spans="1:2" x14ac:dyDescent="0.3">
      <c r="A167" s="1"/>
      <c r="B167" s="1"/>
    </row>
    <row r="168" spans="1:2" x14ac:dyDescent="0.3">
      <c r="A168" s="1"/>
      <c r="B168" s="1"/>
    </row>
    <row r="169" spans="1:2" x14ac:dyDescent="0.3">
      <c r="A169" s="1"/>
      <c r="B169" s="1"/>
    </row>
    <row r="170" spans="1:2" x14ac:dyDescent="0.3">
      <c r="A170" s="1"/>
      <c r="B170" s="1"/>
    </row>
    <row r="171" spans="1:2" x14ac:dyDescent="0.3">
      <c r="A171" s="1"/>
      <c r="B171" s="1"/>
    </row>
    <row r="172" spans="1:2" x14ac:dyDescent="0.3">
      <c r="A172" s="1"/>
      <c r="B172" s="1"/>
    </row>
    <row r="173" spans="1:2" x14ac:dyDescent="0.3">
      <c r="A173" s="1"/>
      <c r="B173" s="1"/>
    </row>
    <row r="174" spans="1:2" x14ac:dyDescent="0.3">
      <c r="A174" s="1"/>
      <c r="B174" s="1"/>
    </row>
    <row r="175" spans="1:2" x14ac:dyDescent="0.3">
      <c r="A175" s="1"/>
      <c r="B175" s="1"/>
    </row>
    <row r="176" spans="1:2" x14ac:dyDescent="0.3">
      <c r="A176" s="1"/>
      <c r="B176" s="1"/>
    </row>
    <row r="177" spans="1:2" x14ac:dyDescent="0.3">
      <c r="A177" s="1"/>
      <c r="B177" s="1"/>
    </row>
    <row r="178" spans="1:2" x14ac:dyDescent="0.3">
      <c r="A178" s="1"/>
      <c r="B178" s="1"/>
    </row>
    <row r="179" spans="1:2" x14ac:dyDescent="0.3">
      <c r="A179" s="1"/>
      <c r="B179" s="1"/>
    </row>
    <row r="180" spans="1:2" x14ac:dyDescent="0.3">
      <c r="A180" s="1"/>
      <c r="B180" s="1"/>
    </row>
    <row r="181" spans="1:2" x14ac:dyDescent="0.3">
      <c r="A181" s="1"/>
      <c r="B181" s="1"/>
    </row>
    <row r="182" spans="1:2" x14ac:dyDescent="0.3">
      <c r="A182" s="1"/>
      <c r="B182" s="1"/>
    </row>
    <row r="183" spans="1:2" x14ac:dyDescent="0.3">
      <c r="A183" s="1"/>
      <c r="B183" s="1"/>
    </row>
    <row r="184" spans="1:2" x14ac:dyDescent="0.3">
      <c r="A184" s="1"/>
      <c r="B184" s="1"/>
    </row>
    <row r="185" spans="1:2" x14ac:dyDescent="0.3">
      <c r="A185" s="1"/>
      <c r="B185" s="1"/>
    </row>
    <row r="186" spans="1:2" x14ac:dyDescent="0.3">
      <c r="A186" s="1"/>
      <c r="B186" s="1"/>
    </row>
    <row r="187" spans="1:2" x14ac:dyDescent="0.3">
      <c r="A187" s="1"/>
      <c r="B187" s="1"/>
    </row>
    <row r="188" spans="1:2" x14ac:dyDescent="0.3">
      <c r="A188" s="1"/>
      <c r="B188" s="1"/>
    </row>
    <row r="189" spans="1:2" x14ac:dyDescent="0.3">
      <c r="A189" s="1"/>
      <c r="B189" s="1"/>
    </row>
    <row r="190" spans="1:2" x14ac:dyDescent="0.3">
      <c r="A190" s="1"/>
      <c r="B190" s="1"/>
    </row>
    <row r="191" spans="1:2" x14ac:dyDescent="0.3">
      <c r="A191" s="1"/>
      <c r="B191" s="1"/>
    </row>
    <row r="192" spans="1:2" x14ac:dyDescent="0.3">
      <c r="A192" s="1"/>
      <c r="B192" s="1"/>
    </row>
    <row r="193" spans="1:2" x14ac:dyDescent="0.3">
      <c r="A193" s="1"/>
      <c r="B193" s="1"/>
    </row>
    <row r="194" spans="1:2" x14ac:dyDescent="0.3">
      <c r="A194" s="1"/>
      <c r="B194" s="1"/>
    </row>
    <row r="195" spans="1:2" x14ac:dyDescent="0.3">
      <c r="A195" s="1"/>
      <c r="B195" s="1"/>
    </row>
    <row r="196" spans="1:2" x14ac:dyDescent="0.3">
      <c r="A196" s="1"/>
      <c r="B196" s="1"/>
    </row>
    <row r="197" spans="1:2" x14ac:dyDescent="0.3">
      <c r="A197" s="1"/>
      <c r="B197" s="1"/>
    </row>
    <row r="198" spans="1:2" x14ac:dyDescent="0.3">
      <c r="A198" s="1"/>
      <c r="B198" s="1"/>
    </row>
    <row r="199" spans="1:2" x14ac:dyDescent="0.3">
      <c r="A199" s="1"/>
      <c r="B199" s="1"/>
    </row>
    <row r="200" spans="1:2" x14ac:dyDescent="0.3">
      <c r="A200" s="1"/>
      <c r="B200" s="1"/>
    </row>
    <row r="201" spans="1:2" x14ac:dyDescent="0.3">
      <c r="A201" s="1"/>
      <c r="B201" s="1"/>
    </row>
    <row r="202" spans="1:2" x14ac:dyDescent="0.3">
      <c r="A202" s="1"/>
      <c r="B202" s="1"/>
    </row>
    <row r="203" spans="1:2" x14ac:dyDescent="0.3">
      <c r="A203" s="1"/>
      <c r="B203" s="1"/>
    </row>
    <row r="204" spans="1:2" x14ac:dyDescent="0.3">
      <c r="A204" s="1"/>
      <c r="B204" s="1"/>
    </row>
    <row r="205" spans="1:2" hidden="1" x14ac:dyDescent="0.3">
      <c r="A205" s="19">
        <v>1</v>
      </c>
      <c r="B205" s="19">
        <v>27.61</v>
      </c>
    </row>
    <row r="206" spans="1:2" hidden="1" x14ac:dyDescent="0.3">
      <c r="A206" s="19">
        <v>1</v>
      </c>
      <c r="B206" s="19">
        <v>27.61</v>
      </c>
    </row>
    <row r="207" spans="1:2" hidden="1" x14ac:dyDescent="0.3">
      <c r="A207" s="19">
        <v>1</v>
      </c>
      <c r="B207" s="19">
        <v>27.61</v>
      </c>
    </row>
    <row r="208" spans="1:2" hidden="1" x14ac:dyDescent="0.3">
      <c r="A208" s="19">
        <v>1</v>
      </c>
      <c r="B208" s="19">
        <v>27.61</v>
      </c>
    </row>
    <row r="209" spans="1:2" ht="14.25" hidden="1" customHeight="1" x14ac:dyDescent="0.3">
      <c r="A209" s="19">
        <v>1</v>
      </c>
      <c r="B209" s="19">
        <v>27.61</v>
      </c>
    </row>
  </sheetData>
  <sheetProtection selectLockedCells="1"/>
  <autoFilter ref="A5:B204" xr:uid="{4AA19018-B401-419E-A167-0356612EFCC9}"/>
  <sortState xmlns:xlrd2="http://schemas.microsoft.com/office/spreadsheetml/2017/richdata2" ref="A6:B204">
    <sortCondition ref="A6:A204"/>
  </sortState>
  <dataConsolidate link="1"/>
  <mergeCells count="2">
    <mergeCell ref="G5:I5"/>
    <mergeCell ref="A3:I3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10</xdr:col>
                    <xdr:colOff>0</xdr:colOff>
                    <xdr:row>4</xdr:row>
                    <xdr:rowOff>213360</xdr:rowOff>
                  </from>
                  <to>
                    <xdr:col>13</xdr:col>
                    <xdr:colOff>388620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5C2F0-290C-48A7-A955-0783F17E950A}">
  <sheetPr codeName="Sheet2"/>
  <dimension ref="A1:V200"/>
  <sheetViews>
    <sheetView workbookViewId="0">
      <selection activeCell="C18" sqref="C18"/>
    </sheetView>
  </sheetViews>
  <sheetFormatPr defaultRowHeight="14.4" x14ac:dyDescent="0.3"/>
  <cols>
    <col min="1" max="1" width="12" bestFit="1" customWidth="1"/>
  </cols>
  <sheetData>
    <row r="1" spans="1:22" x14ac:dyDescent="0.3">
      <c r="A1" t="str">
        <f>IF(ISBLANK(Regression!A5),"",Regression!A5)</f>
        <v>Dilution</v>
      </c>
      <c r="B1" t="s">
        <v>0</v>
      </c>
      <c r="C1" t="s">
        <v>15</v>
      </c>
      <c r="H1" t="s">
        <v>3</v>
      </c>
      <c r="I1" t="s">
        <v>4</v>
      </c>
      <c r="J1" t="s">
        <v>5</v>
      </c>
      <c r="M1" s="28" t="s">
        <v>16</v>
      </c>
      <c r="N1" s="28"/>
      <c r="P1" t="s">
        <v>3</v>
      </c>
      <c r="Q1" t="s">
        <v>4</v>
      </c>
      <c r="R1" t="s">
        <v>5</v>
      </c>
      <c r="V1" t="s">
        <v>17</v>
      </c>
    </row>
    <row r="2" spans="1:22" x14ac:dyDescent="0.3">
      <c r="A2" t="str">
        <f>IF(ISBLANK(Regression!$A$7),"",MIN(Regression!A:A))</f>
        <v/>
      </c>
      <c r="B2" t="str">
        <f t="shared" ref="B2:B33" si="0">IF(A2="","",(Titer*Cp-Titer)/A2+1)</f>
        <v/>
      </c>
      <c r="C2">
        <f t="shared" ref="C2:C33" si="1">IF(Cp="","",Cp)</f>
        <v>1.6</v>
      </c>
      <c r="H2" t="str">
        <f>IF(ISBLANK(Regression!$A$7),"",MIN(Regression!A:A))</f>
        <v/>
      </c>
      <c r="I2" t="str">
        <f>IF(ISBLANK(Regression!$A$7),"",MAX(Regression!A:A))</f>
        <v/>
      </c>
      <c r="J2">
        <v>199</v>
      </c>
      <c r="K2" t="str">
        <f>IF(I4="","",(I4-H4)/J2)</f>
        <v/>
      </c>
      <c r="M2" t="str">
        <f t="shared" ref="M2:M11" si="2">IF($S$2="","",ROUND(Titer,1))</f>
        <v/>
      </c>
      <c r="N2" t="str">
        <f>IF($S$2="","",0)</f>
        <v/>
      </c>
      <c r="P2">
        <v>0</v>
      </c>
      <c r="Q2" t="str">
        <f>IF(ISBLANK(Regression!$A$7),"",MAX(B:B))</f>
        <v/>
      </c>
      <c r="R2">
        <v>9</v>
      </c>
      <c r="S2" t="str">
        <f>IF(Q2="","",(Q2-P2)/R2)</f>
        <v/>
      </c>
    </row>
    <row r="3" spans="1:22" x14ac:dyDescent="0.3">
      <c r="A3" t="str">
        <f>IF($K$2="","",10^((ROW()-1)*$K$2))</f>
        <v/>
      </c>
      <c r="B3" t="str">
        <f t="shared" si="0"/>
        <v/>
      </c>
      <c r="C3">
        <f t="shared" si="1"/>
        <v>1.6</v>
      </c>
      <c r="H3" t="s">
        <v>6</v>
      </c>
      <c r="I3" t="s">
        <v>7</v>
      </c>
      <c r="M3" t="str">
        <f t="shared" si="2"/>
        <v/>
      </c>
      <c r="N3" t="str">
        <f>IF($S$2="","",$S$2+N2)</f>
        <v/>
      </c>
    </row>
    <row r="4" spans="1:22" x14ac:dyDescent="0.3">
      <c r="A4" t="str">
        <f t="shared" ref="A4:A67" si="3">IF($K$2="","",10^((ROW()-1)*$K$2))</f>
        <v/>
      </c>
      <c r="B4" t="str">
        <f t="shared" si="0"/>
        <v/>
      </c>
      <c r="C4">
        <f t="shared" si="1"/>
        <v>1.6</v>
      </c>
      <c r="H4" t="str">
        <f>IF(H2="","",LOG10(H2))</f>
        <v/>
      </c>
      <c r="I4" t="str">
        <f>IF(I2="","",LOG10(I2))</f>
        <v/>
      </c>
      <c r="M4" t="str">
        <f t="shared" si="2"/>
        <v/>
      </c>
      <c r="N4" t="str">
        <f t="shared" ref="N4:N11" si="4">IF($S$2="","",$S$2+N3)</f>
        <v/>
      </c>
    </row>
    <row r="5" spans="1:22" x14ac:dyDescent="0.3">
      <c r="A5" t="str">
        <f t="shared" si="3"/>
        <v/>
      </c>
      <c r="B5" t="str">
        <f t="shared" si="0"/>
        <v/>
      </c>
      <c r="C5">
        <f t="shared" si="1"/>
        <v>1.6</v>
      </c>
      <c r="M5" t="str">
        <f t="shared" si="2"/>
        <v/>
      </c>
      <c r="N5" t="str">
        <f t="shared" si="4"/>
        <v/>
      </c>
    </row>
    <row r="6" spans="1:22" x14ac:dyDescent="0.3">
      <c r="A6" t="str">
        <f t="shared" si="3"/>
        <v/>
      </c>
      <c r="B6" t="str">
        <f t="shared" si="0"/>
        <v/>
      </c>
      <c r="C6">
        <f t="shared" si="1"/>
        <v>1.6</v>
      </c>
      <c r="M6" t="str">
        <f t="shared" si="2"/>
        <v/>
      </c>
      <c r="N6" t="str">
        <f t="shared" si="4"/>
        <v/>
      </c>
    </row>
    <row r="7" spans="1:22" x14ac:dyDescent="0.3">
      <c r="A7" t="str">
        <f t="shared" si="3"/>
        <v/>
      </c>
      <c r="B7" t="str">
        <f t="shared" si="0"/>
        <v/>
      </c>
      <c r="C7">
        <f t="shared" si="1"/>
        <v>1.6</v>
      </c>
      <c r="M7" t="str">
        <f t="shared" si="2"/>
        <v/>
      </c>
      <c r="N7" t="str">
        <f t="shared" si="4"/>
        <v/>
      </c>
    </row>
    <row r="8" spans="1:22" x14ac:dyDescent="0.3">
      <c r="A8" t="str">
        <f t="shared" si="3"/>
        <v/>
      </c>
      <c r="B8" t="str">
        <f t="shared" si="0"/>
        <v/>
      </c>
      <c r="C8">
        <f t="shared" si="1"/>
        <v>1.6</v>
      </c>
      <c r="M8" t="str">
        <f t="shared" si="2"/>
        <v/>
      </c>
      <c r="N8" t="str">
        <f t="shared" si="4"/>
        <v/>
      </c>
    </row>
    <row r="9" spans="1:22" x14ac:dyDescent="0.3">
      <c r="A9" t="str">
        <f t="shared" si="3"/>
        <v/>
      </c>
      <c r="B9" t="str">
        <f t="shared" si="0"/>
        <v/>
      </c>
      <c r="C9">
        <f t="shared" si="1"/>
        <v>1.6</v>
      </c>
      <c r="M9" t="str">
        <f t="shared" si="2"/>
        <v/>
      </c>
      <c r="N9" t="str">
        <f t="shared" si="4"/>
        <v/>
      </c>
    </row>
    <row r="10" spans="1:22" x14ac:dyDescent="0.3">
      <c r="A10" t="str">
        <f t="shared" si="3"/>
        <v/>
      </c>
      <c r="B10" t="str">
        <f t="shared" si="0"/>
        <v/>
      </c>
      <c r="C10">
        <f t="shared" si="1"/>
        <v>1.6</v>
      </c>
      <c r="M10" t="str">
        <f t="shared" si="2"/>
        <v/>
      </c>
      <c r="N10" t="str">
        <f t="shared" si="4"/>
        <v/>
      </c>
    </row>
    <row r="11" spans="1:22" x14ac:dyDescent="0.3">
      <c r="A11" t="str">
        <f t="shared" si="3"/>
        <v/>
      </c>
      <c r="B11" t="str">
        <f t="shared" si="0"/>
        <v/>
      </c>
      <c r="C11">
        <f t="shared" si="1"/>
        <v>1.6</v>
      </c>
      <c r="M11" t="str">
        <f t="shared" si="2"/>
        <v/>
      </c>
      <c r="N11" t="str">
        <f t="shared" si="4"/>
        <v/>
      </c>
    </row>
    <row r="12" spans="1:22" x14ac:dyDescent="0.3">
      <c r="A12" t="str">
        <f t="shared" si="3"/>
        <v/>
      </c>
      <c r="B12" t="str">
        <f t="shared" si="0"/>
        <v/>
      </c>
      <c r="C12">
        <f t="shared" si="1"/>
        <v>1.6</v>
      </c>
    </row>
    <row r="13" spans="1:22" x14ac:dyDescent="0.3">
      <c r="A13" t="str">
        <f t="shared" si="3"/>
        <v/>
      </c>
      <c r="B13" t="str">
        <f t="shared" si="0"/>
        <v/>
      </c>
      <c r="C13">
        <f t="shared" si="1"/>
        <v>1.6</v>
      </c>
    </row>
    <row r="14" spans="1:22" x14ac:dyDescent="0.3">
      <c r="A14" t="str">
        <f t="shared" si="3"/>
        <v/>
      </c>
      <c r="B14" t="str">
        <f t="shared" si="0"/>
        <v/>
      </c>
      <c r="C14">
        <f t="shared" si="1"/>
        <v>1.6</v>
      </c>
    </row>
    <row r="15" spans="1:22" x14ac:dyDescent="0.3">
      <c r="A15" t="str">
        <f t="shared" si="3"/>
        <v/>
      </c>
      <c r="B15" t="str">
        <f t="shared" si="0"/>
        <v/>
      </c>
      <c r="C15">
        <f t="shared" si="1"/>
        <v>1.6</v>
      </c>
    </row>
    <row r="16" spans="1:22" x14ac:dyDescent="0.3">
      <c r="A16" t="str">
        <f t="shared" si="3"/>
        <v/>
      </c>
      <c r="B16" t="str">
        <f t="shared" si="0"/>
        <v/>
      </c>
      <c r="C16">
        <f t="shared" si="1"/>
        <v>1.6</v>
      </c>
    </row>
    <row r="17" spans="1:3" x14ac:dyDescent="0.3">
      <c r="A17" t="str">
        <f t="shared" si="3"/>
        <v/>
      </c>
      <c r="B17" t="str">
        <f t="shared" si="0"/>
        <v/>
      </c>
      <c r="C17">
        <f t="shared" si="1"/>
        <v>1.6</v>
      </c>
    </row>
    <row r="18" spans="1:3" x14ac:dyDescent="0.3">
      <c r="A18" t="str">
        <f t="shared" si="3"/>
        <v/>
      </c>
      <c r="B18" t="str">
        <f t="shared" si="0"/>
        <v/>
      </c>
      <c r="C18">
        <f t="shared" si="1"/>
        <v>1.6</v>
      </c>
    </row>
    <row r="19" spans="1:3" x14ac:dyDescent="0.3">
      <c r="A19" t="str">
        <f t="shared" si="3"/>
        <v/>
      </c>
      <c r="B19" t="str">
        <f t="shared" si="0"/>
        <v/>
      </c>
      <c r="C19">
        <f t="shared" si="1"/>
        <v>1.6</v>
      </c>
    </row>
    <row r="20" spans="1:3" x14ac:dyDescent="0.3">
      <c r="A20" t="str">
        <f t="shared" si="3"/>
        <v/>
      </c>
      <c r="B20" t="str">
        <f t="shared" si="0"/>
        <v/>
      </c>
      <c r="C20">
        <f t="shared" si="1"/>
        <v>1.6</v>
      </c>
    </row>
    <row r="21" spans="1:3" x14ac:dyDescent="0.3">
      <c r="A21" t="str">
        <f t="shared" si="3"/>
        <v/>
      </c>
      <c r="B21" t="str">
        <f t="shared" si="0"/>
        <v/>
      </c>
      <c r="C21">
        <f t="shared" si="1"/>
        <v>1.6</v>
      </c>
    </row>
    <row r="22" spans="1:3" x14ac:dyDescent="0.3">
      <c r="A22" t="str">
        <f t="shared" si="3"/>
        <v/>
      </c>
      <c r="B22" t="str">
        <f t="shared" si="0"/>
        <v/>
      </c>
      <c r="C22">
        <f t="shared" si="1"/>
        <v>1.6</v>
      </c>
    </row>
    <row r="23" spans="1:3" x14ac:dyDescent="0.3">
      <c r="A23" t="str">
        <f t="shared" si="3"/>
        <v/>
      </c>
      <c r="B23" t="str">
        <f t="shared" si="0"/>
        <v/>
      </c>
      <c r="C23">
        <f t="shared" si="1"/>
        <v>1.6</v>
      </c>
    </row>
    <row r="24" spans="1:3" x14ac:dyDescent="0.3">
      <c r="A24" t="str">
        <f t="shared" si="3"/>
        <v/>
      </c>
      <c r="B24" t="str">
        <f t="shared" si="0"/>
        <v/>
      </c>
      <c r="C24">
        <f t="shared" si="1"/>
        <v>1.6</v>
      </c>
    </row>
    <row r="25" spans="1:3" x14ac:dyDescent="0.3">
      <c r="A25" t="str">
        <f t="shared" si="3"/>
        <v/>
      </c>
      <c r="B25" t="str">
        <f t="shared" si="0"/>
        <v/>
      </c>
      <c r="C25">
        <f t="shared" si="1"/>
        <v>1.6</v>
      </c>
    </row>
    <row r="26" spans="1:3" x14ac:dyDescent="0.3">
      <c r="A26" t="str">
        <f t="shared" si="3"/>
        <v/>
      </c>
      <c r="B26" t="str">
        <f t="shared" si="0"/>
        <v/>
      </c>
      <c r="C26">
        <f t="shared" si="1"/>
        <v>1.6</v>
      </c>
    </row>
    <row r="27" spans="1:3" x14ac:dyDescent="0.3">
      <c r="A27" t="str">
        <f t="shared" si="3"/>
        <v/>
      </c>
      <c r="B27" t="str">
        <f t="shared" si="0"/>
        <v/>
      </c>
      <c r="C27">
        <f t="shared" si="1"/>
        <v>1.6</v>
      </c>
    </row>
    <row r="28" spans="1:3" x14ac:dyDescent="0.3">
      <c r="A28" t="str">
        <f t="shared" si="3"/>
        <v/>
      </c>
      <c r="B28" t="str">
        <f t="shared" si="0"/>
        <v/>
      </c>
      <c r="C28">
        <f t="shared" si="1"/>
        <v>1.6</v>
      </c>
    </row>
    <row r="29" spans="1:3" x14ac:dyDescent="0.3">
      <c r="A29" t="str">
        <f t="shared" si="3"/>
        <v/>
      </c>
      <c r="B29" t="str">
        <f t="shared" si="0"/>
        <v/>
      </c>
      <c r="C29">
        <f t="shared" si="1"/>
        <v>1.6</v>
      </c>
    </row>
    <row r="30" spans="1:3" x14ac:dyDescent="0.3">
      <c r="A30" t="str">
        <f t="shared" si="3"/>
        <v/>
      </c>
      <c r="B30" t="str">
        <f t="shared" si="0"/>
        <v/>
      </c>
      <c r="C30">
        <f t="shared" si="1"/>
        <v>1.6</v>
      </c>
    </row>
    <row r="31" spans="1:3" x14ac:dyDescent="0.3">
      <c r="A31" t="str">
        <f t="shared" si="3"/>
        <v/>
      </c>
      <c r="B31" t="str">
        <f t="shared" si="0"/>
        <v/>
      </c>
      <c r="C31">
        <f t="shared" si="1"/>
        <v>1.6</v>
      </c>
    </row>
    <row r="32" spans="1:3" x14ac:dyDescent="0.3">
      <c r="A32" t="str">
        <f t="shared" si="3"/>
        <v/>
      </c>
      <c r="B32" t="str">
        <f t="shared" si="0"/>
        <v/>
      </c>
      <c r="C32">
        <f t="shared" si="1"/>
        <v>1.6</v>
      </c>
    </row>
    <row r="33" spans="1:3" x14ac:dyDescent="0.3">
      <c r="A33" t="str">
        <f t="shared" si="3"/>
        <v/>
      </c>
      <c r="B33" t="str">
        <f t="shared" si="0"/>
        <v/>
      </c>
      <c r="C33">
        <f t="shared" si="1"/>
        <v>1.6</v>
      </c>
    </row>
    <row r="34" spans="1:3" x14ac:dyDescent="0.3">
      <c r="A34" t="str">
        <f t="shared" si="3"/>
        <v/>
      </c>
      <c r="B34" t="str">
        <f t="shared" ref="B34:B65" si="5">IF(A34="","",(Titer*Cp-Titer)/A34+1)</f>
        <v/>
      </c>
      <c r="C34">
        <f t="shared" ref="C34:C65" si="6">IF(Cp="","",Cp)</f>
        <v>1.6</v>
      </c>
    </row>
    <row r="35" spans="1:3" x14ac:dyDescent="0.3">
      <c r="A35" t="str">
        <f t="shared" si="3"/>
        <v/>
      </c>
      <c r="B35" t="str">
        <f t="shared" si="5"/>
        <v/>
      </c>
      <c r="C35">
        <f t="shared" si="6"/>
        <v>1.6</v>
      </c>
    </row>
    <row r="36" spans="1:3" x14ac:dyDescent="0.3">
      <c r="A36" t="str">
        <f t="shared" si="3"/>
        <v/>
      </c>
      <c r="B36" t="str">
        <f t="shared" si="5"/>
        <v/>
      </c>
      <c r="C36">
        <f t="shared" si="6"/>
        <v>1.6</v>
      </c>
    </row>
    <row r="37" spans="1:3" x14ac:dyDescent="0.3">
      <c r="A37" t="str">
        <f t="shared" si="3"/>
        <v/>
      </c>
      <c r="B37" t="str">
        <f t="shared" si="5"/>
        <v/>
      </c>
      <c r="C37">
        <f t="shared" si="6"/>
        <v>1.6</v>
      </c>
    </row>
    <row r="38" spans="1:3" x14ac:dyDescent="0.3">
      <c r="A38" t="str">
        <f t="shared" si="3"/>
        <v/>
      </c>
      <c r="B38" t="str">
        <f t="shared" si="5"/>
        <v/>
      </c>
      <c r="C38">
        <f t="shared" si="6"/>
        <v>1.6</v>
      </c>
    </row>
    <row r="39" spans="1:3" x14ac:dyDescent="0.3">
      <c r="A39" t="str">
        <f t="shared" si="3"/>
        <v/>
      </c>
      <c r="B39" t="str">
        <f t="shared" si="5"/>
        <v/>
      </c>
      <c r="C39">
        <f t="shared" si="6"/>
        <v>1.6</v>
      </c>
    </row>
    <row r="40" spans="1:3" x14ac:dyDescent="0.3">
      <c r="A40" t="str">
        <f t="shared" si="3"/>
        <v/>
      </c>
      <c r="B40" t="str">
        <f t="shared" si="5"/>
        <v/>
      </c>
      <c r="C40">
        <f t="shared" si="6"/>
        <v>1.6</v>
      </c>
    </row>
    <row r="41" spans="1:3" x14ac:dyDescent="0.3">
      <c r="A41" t="str">
        <f t="shared" si="3"/>
        <v/>
      </c>
      <c r="B41" t="str">
        <f t="shared" si="5"/>
        <v/>
      </c>
      <c r="C41">
        <f t="shared" si="6"/>
        <v>1.6</v>
      </c>
    </row>
    <row r="42" spans="1:3" x14ac:dyDescent="0.3">
      <c r="A42" t="str">
        <f t="shared" si="3"/>
        <v/>
      </c>
      <c r="B42" t="str">
        <f t="shared" si="5"/>
        <v/>
      </c>
      <c r="C42">
        <f t="shared" si="6"/>
        <v>1.6</v>
      </c>
    </row>
    <row r="43" spans="1:3" x14ac:dyDescent="0.3">
      <c r="A43" t="str">
        <f t="shared" si="3"/>
        <v/>
      </c>
      <c r="B43" t="str">
        <f t="shared" si="5"/>
        <v/>
      </c>
      <c r="C43">
        <f t="shared" si="6"/>
        <v>1.6</v>
      </c>
    </row>
    <row r="44" spans="1:3" x14ac:dyDescent="0.3">
      <c r="A44" t="str">
        <f t="shared" si="3"/>
        <v/>
      </c>
      <c r="B44" t="str">
        <f t="shared" si="5"/>
        <v/>
      </c>
      <c r="C44">
        <f t="shared" si="6"/>
        <v>1.6</v>
      </c>
    </row>
    <row r="45" spans="1:3" x14ac:dyDescent="0.3">
      <c r="A45" t="str">
        <f t="shared" si="3"/>
        <v/>
      </c>
      <c r="B45" t="str">
        <f t="shared" si="5"/>
        <v/>
      </c>
      <c r="C45">
        <f t="shared" si="6"/>
        <v>1.6</v>
      </c>
    </row>
    <row r="46" spans="1:3" x14ac:dyDescent="0.3">
      <c r="A46" t="str">
        <f t="shared" si="3"/>
        <v/>
      </c>
      <c r="B46" t="str">
        <f t="shared" si="5"/>
        <v/>
      </c>
      <c r="C46">
        <f t="shared" si="6"/>
        <v>1.6</v>
      </c>
    </row>
    <row r="47" spans="1:3" x14ac:dyDescent="0.3">
      <c r="A47" t="str">
        <f t="shared" si="3"/>
        <v/>
      </c>
      <c r="B47" t="str">
        <f t="shared" si="5"/>
        <v/>
      </c>
      <c r="C47">
        <f t="shared" si="6"/>
        <v>1.6</v>
      </c>
    </row>
    <row r="48" spans="1:3" x14ac:dyDescent="0.3">
      <c r="A48" t="str">
        <f t="shared" si="3"/>
        <v/>
      </c>
      <c r="B48" t="str">
        <f t="shared" si="5"/>
        <v/>
      </c>
      <c r="C48">
        <f t="shared" si="6"/>
        <v>1.6</v>
      </c>
    </row>
    <row r="49" spans="1:3" x14ac:dyDescent="0.3">
      <c r="A49" t="str">
        <f t="shared" si="3"/>
        <v/>
      </c>
      <c r="B49" t="str">
        <f t="shared" si="5"/>
        <v/>
      </c>
      <c r="C49">
        <f t="shared" si="6"/>
        <v>1.6</v>
      </c>
    </row>
    <row r="50" spans="1:3" x14ac:dyDescent="0.3">
      <c r="A50" t="str">
        <f t="shared" si="3"/>
        <v/>
      </c>
      <c r="B50" t="str">
        <f t="shared" si="5"/>
        <v/>
      </c>
      <c r="C50">
        <f t="shared" si="6"/>
        <v>1.6</v>
      </c>
    </row>
    <row r="51" spans="1:3" x14ac:dyDescent="0.3">
      <c r="A51" t="str">
        <f t="shared" si="3"/>
        <v/>
      </c>
      <c r="B51" t="str">
        <f t="shared" si="5"/>
        <v/>
      </c>
      <c r="C51">
        <f t="shared" si="6"/>
        <v>1.6</v>
      </c>
    </row>
    <row r="52" spans="1:3" x14ac:dyDescent="0.3">
      <c r="A52" t="str">
        <f t="shared" si="3"/>
        <v/>
      </c>
      <c r="B52" t="str">
        <f t="shared" si="5"/>
        <v/>
      </c>
      <c r="C52">
        <f t="shared" si="6"/>
        <v>1.6</v>
      </c>
    </row>
    <row r="53" spans="1:3" x14ac:dyDescent="0.3">
      <c r="A53" t="str">
        <f t="shared" si="3"/>
        <v/>
      </c>
      <c r="B53" t="str">
        <f t="shared" si="5"/>
        <v/>
      </c>
      <c r="C53">
        <f t="shared" si="6"/>
        <v>1.6</v>
      </c>
    </row>
    <row r="54" spans="1:3" x14ac:dyDescent="0.3">
      <c r="A54" t="str">
        <f t="shared" si="3"/>
        <v/>
      </c>
      <c r="B54" t="str">
        <f t="shared" si="5"/>
        <v/>
      </c>
      <c r="C54">
        <f t="shared" si="6"/>
        <v>1.6</v>
      </c>
    </row>
    <row r="55" spans="1:3" x14ac:dyDescent="0.3">
      <c r="A55" t="str">
        <f t="shared" si="3"/>
        <v/>
      </c>
      <c r="B55" t="str">
        <f t="shared" si="5"/>
        <v/>
      </c>
      <c r="C55">
        <f t="shared" si="6"/>
        <v>1.6</v>
      </c>
    </row>
    <row r="56" spans="1:3" x14ac:dyDescent="0.3">
      <c r="A56" t="str">
        <f t="shared" si="3"/>
        <v/>
      </c>
      <c r="B56" t="str">
        <f t="shared" si="5"/>
        <v/>
      </c>
      <c r="C56">
        <f t="shared" si="6"/>
        <v>1.6</v>
      </c>
    </row>
    <row r="57" spans="1:3" x14ac:dyDescent="0.3">
      <c r="A57" t="str">
        <f t="shared" si="3"/>
        <v/>
      </c>
      <c r="B57" t="str">
        <f t="shared" si="5"/>
        <v/>
      </c>
      <c r="C57">
        <f t="shared" si="6"/>
        <v>1.6</v>
      </c>
    </row>
    <row r="58" spans="1:3" x14ac:dyDescent="0.3">
      <c r="A58" t="str">
        <f t="shared" si="3"/>
        <v/>
      </c>
      <c r="B58" t="str">
        <f t="shared" si="5"/>
        <v/>
      </c>
      <c r="C58">
        <f t="shared" si="6"/>
        <v>1.6</v>
      </c>
    </row>
    <row r="59" spans="1:3" x14ac:dyDescent="0.3">
      <c r="A59" t="str">
        <f t="shared" si="3"/>
        <v/>
      </c>
      <c r="B59" t="str">
        <f t="shared" si="5"/>
        <v/>
      </c>
      <c r="C59">
        <f t="shared" si="6"/>
        <v>1.6</v>
      </c>
    </row>
    <row r="60" spans="1:3" x14ac:dyDescent="0.3">
      <c r="A60" t="str">
        <f t="shared" si="3"/>
        <v/>
      </c>
      <c r="B60" t="str">
        <f t="shared" si="5"/>
        <v/>
      </c>
      <c r="C60">
        <f t="shared" si="6"/>
        <v>1.6</v>
      </c>
    </row>
    <row r="61" spans="1:3" x14ac:dyDescent="0.3">
      <c r="A61" t="str">
        <f t="shared" si="3"/>
        <v/>
      </c>
      <c r="B61" t="str">
        <f t="shared" si="5"/>
        <v/>
      </c>
      <c r="C61">
        <f t="shared" si="6"/>
        <v>1.6</v>
      </c>
    </row>
    <row r="62" spans="1:3" x14ac:dyDescent="0.3">
      <c r="A62" t="str">
        <f t="shared" si="3"/>
        <v/>
      </c>
      <c r="B62" t="str">
        <f t="shared" si="5"/>
        <v/>
      </c>
      <c r="C62">
        <f t="shared" si="6"/>
        <v>1.6</v>
      </c>
    </row>
    <row r="63" spans="1:3" x14ac:dyDescent="0.3">
      <c r="A63" t="str">
        <f t="shared" si="3"/>
        <v/>
      </c>
      <c r="B63" t="str">
        <f t="shared" si="5"/>
        <v/>
      </c>
      <c r="C63">
        <f t="shared" si="6"/>
        <v>1.6</v>
      </c>
    </row>
    <row r="64" spans="1:3" x14ac:dyDescent="0.3">
      <c r="A64" t="str">
        <f t="shared" si="3"/>
        <v/>
      </c>
      <c r="B64" t="str">
        <f t="shared" si="5"/>
        <v/>
      </c>
      <c r="C64">
        <f t="shared" si="6"/>
        <v>1.6</v>
      </c>
    </row>
    <row r="65" spans="1:3" x14ac:dyDescent="0.3">
      <c r="A65" t="str">
        <f t="shared" si="3"/>
        <v/>
      </c>
      <c r="B65" t="str">
        <f t="shared" si="5"/>
        <v/>
      </c>
      <c r="C65">
        <f t="shared" si="6"/>
        <v>1.6</v>
      </c>
    </row>
    <row r="66" spans="1:3" x14ac:dyDescent="0.3">
      <c r="A66" t="str">
        <f t="shared" si="3"/>
        <v/>
      </c>
      <c r="B66" t="str">
        <f t="shared" ref="B66:B97" si="7">IF(A66="","",(Titer*Cp-Titer)/A66+1)</f>
        <v/>
      </c>
      <c r="C66">
        <f t="shared" ref="C66:C97" si="8">IF(Cp="","",Cp)</f>
        <v>1.6</v>
      </c>
    </row>
    <row r="67" spans="1:3" x14ac:dyDescent="0.3">
      <c r="A67" t="str">
        <f t="shared" si="3"/>
        <v/>
      </c>
      <c r="B67" t="str">
        <f t="shared" si="7"/>
        <v/>
      </c>
      <c r="C67">
        <f t="shared" si="8"/>
        <v>1.6</v>
      </c>
    </row>
    <row r="68" spans="1:3" x14ac:dyDescent="0.3">
      <c r="A68" t="str">
        <f t="shared" ref="A68:A131" si="9">IF($K$2="","",10^((ROW()-1)*$K$2))</f>
        <v/>
      </c>
      <c r="B68" t="str">
        <f t="shared" si="7"/>
        <v/>
      </c>
      <c r="C68">
        <f t="shared" si="8"/>
        <v>1.6</v>
      </c>
    </row>
    <row r="69" spans="1:3" x14ac:dyDescent="0.3">
      <c r="A69" t="str">
        <f t="shared" si="9"/>
        <v/>
      </c>
      <c r="B69" t="str">
        <f t="shared" si="7"/>
        <v/>
      </c>
      <c r="C69">
        <f t="shared" si="8"/>
        <v>1.6</v>
      </c>
    </row>
    <row r="70" spans="1:3" x14ac:dyDescent="0.3">
      <c r="A70" t="str">
        <f t="shared" si="9"/>
        <v/>
      </c>
      <c r="B70" t="str">
        <f t="shared" si="7"/>
        <v/>
      </c>
      <c r="C70">
        <f t="shared" si="8"/>
        <v>1.6</v>
      </c>
    </row>
    <row r="71" spans="1:3" x14ac:dyDescent="0.3">
      <c r="A71" t="str">
        <f t="shared" si="9"/>
        <v/>
      </c>
      <c r="B71" t="str">
        <f t="shared" si="7"/>
        <v/>
      </c>
      <c r="C71">
        <f t="shared" si="8"/>
        <v>1.6</v>
      </c>
    </row>
    <row r="72" spans="1:3" x14ac:dyDescent="0.3">
      <c r="A72" t="str">
        <f t="shared" si="9"/>
        <v/>
      </c>
      <c r="B72" t="str">
        <f t="shared" si="7"/>
        <v/>
      </c>
      <c r="C72">
        <f t="shared" si="8"/>
        <v>1.6</v>
      </c>
    </row>
    <row r="73" spans="1:3" x14ac:dyDescent="0.3">
      <c r="A73" t="str">
        <f t="shared" si="9"/>
        <v/>
      </c>
      <c r="B73" t="str">
        <f t="shared" si="7"/>
        <v/>
      </c>
      <c r="C73">
        <f t="shared" si="8"/>
        <v>1.6</v>
      </c>
    </row>
    <row r="74" spans="1:3" x14ac:dyDescent="0.3">
      <c r="A74" t="str">
        <f t="shared" si="9"/>
        <v/>
      </c>
      <c r="B74" t="str">
        <f t="shared" si="7"/>
        <v/>
      </c>
      <c r="C74">
        <f t="shared" si="8"/>
        <v>1.6</v>
      </c>
    </row>
    <row r="75" spans="1:3" x14ac:dyDescent="0.3">
      <c r="A75" t="str">
        <f t="shared" si="9"/>
        <v/>
      </c>
      <c r="B75" t="str">
        <f t="shared" si="7"/>
        <v/>
      </c>
      <c r="C75">
        <f t="shared" si="8"/>
        <v>1.6</v>
      </c>
    </row>
    <row r="76" spans="1:3" x14ac:dyDescent="0.3">
      <c r="A76" t="str">
        <f t="shared" si="9"/>
        <v/>
      </c>
      <c r="B76" t="str">
        <f t="shared" si="7"/>
        <v/>
      </c>
      <c r="C76">
        <f t="shared" si="8"/>
        <v>1.6</v>
      </c>
    </row>
    <row r="77" spans="1:3" x14ac:dyDescent="0.3">
      <c r="A77" t="str">
        <f t="shared" si="9"/>
        <v/>
      </c>
      <c r="B77" t="str">
        <f t="shared" si="7"/>
        <v/>
      </c>
      <c r="C77">
        <f t="shared" si="8"/>
        <v>1.6</v>
      </c>
    </row>
    <row r="78" spans="1:3" x14ac:dyDescent="0.3">
      <c r="A78" t="str">
        <f t="shared" si="9"/>
        <v/>
      </c>
      <c r="B78" t="str">
        <f t="shared" si="7"/>
        <v/>
      </c>
      <c r="C78">
        <f t="shared" si="8"/>
        <v>1.6</v>
      </c>
    </row>
    <row r="79" spans="1:3" x14ac:dyDescent="0.3">
      <c r="A79" t="str">
        <f t="shared" si="9"/>
        <v/>
      </c>
      <c r="B79" t="str">
        <f t="shared" si="7"/>
        <v/>
      </c>
      <c r="C79">
        <f t="shared" si="8"/>
        <v>1.6</v>
      </c>
    </row>
    <row r="80" spans="1:3" x14ac:dyDescent="0.3">
      <c r="A80" t="str">
        <f t="shared" si="9"/>
        <v/>
      </c>
      <c r="B80" t="str">
        <f t="shared" si="7"/>
        <v/>
      </c>
      <c r="C80">
        <f t="shared" si="8"/>
        <v>1.6</v>
      </c>
    </row>
    <row r="81" spans="1:3" x14ac:dyDescent="0.3">
      <c r="A81" t="str">
        <f t="shared" si="9"/>
        <v/>
      </c>
      <c r="B81" t="str">
        <f t="shared" si="7"/>
        <v/>
      </c>
      <c r="C81">
        <f t="shared" si="8"/>
        <v>1.6</v>
      </c>
    </row>
    <row r="82" spans="1:3" x14ac:dyDescent="0.3">
      <c r="A82" t="str">
        <f t="shared" si="9"/>
        <v/>
      </c>
      <c r="B82" t="str">
        <f t="shared" si="7"/>
        <v/>
      </c>
      <c r="C82">
        <f t="shared" si="8"/>
        <v>1.6</v>
      </c>
    </row>
    <row r="83" spans="1:3" x14ac:dyDescent="0.3">
      <c r="A83" t="str">
        <f t="shared" si="9"/>
        <v/>
      </c>
      <c r="B83" t="str">
        <f t="shared" si="7"/>
        <v/>
      </c>
      <c r="C83">
        <f t="shared" si="8"/>
        <v>1.6</v>
      </c>
    </row>
    <row r="84" spans="1:3" x14ac:dyDescent="0.3">
      <c r="A84" t="str">
        <f t="shared" si="9"/>
        <v/>
      </c>
      <c r="B84" t="str">
        <f t="shared" si="7"/>
        <v/>
      </c>
      <c r="C84">
        <f t="shared" si="8"/>
        <v>1.6</v>
      </c>
    </row>
    <row r="85" spans="1:3" x14ac:dyDescent="0.3">
      <c r="A85" t="str">
        <f t="shared" si="9"/>
        <v/>
      </c>
      <c r="B85" t="str">
        <f t="shared" si="7"/>
        <v/>
      </c>
      <c r="C85">
        <f t="shared" si="8"/>
        <v>1.6</v>
      </c>
    </row>
    <row r="86" spans="1:3" x14ac:dyDescent="0.3">
      <c r="A86" t="str">
        <f t="shared" si="9"/>
        <v/>
      </c>
      <c r="B86" t="str">
        <f t="shared" si="7"/>
        <v/>
      </c>
      <c r="C86">
        <f t="shared" si="8"/>
        <v>1.6</v>
      </c>
    </row>
    <row r="87" spans="1:3" x14ac:dyDescent="0.3">
      <c r="A87" t="str">
        <f t="shared" si="9"/>
        <v/>
      </c>
      <c r="B87" t="str">
        <f t="shared" si="7"/>
        <v/>
      </c>
      <c r="C87">
        <f t="shared" si="8"/>
        <v>1.6</v>
      </c>
    </row>
    <row r="88" spans="1:3" x14ac:dyDescent="0.3">
      <c r="A88" t="str">
        <f t="shared" si="9"/>
        <v/>
      </c>
      <c r="B88" t="str">
        <f t="shared" si="7"/>
        <v/>
      </c>
      <c r="C88">
        <f t="shared" si="8"/>
        <v>1.6</v>
      </c>
    </row>
    <row r="89" spans="1:3" x14ac:dyDescent="0.3">
      <c r="A89" t="str">
        <f t="shared" si="9"/>
        <v/>
      </c>
      <c r="B89" t="str">
        <f t="shared" si="7"/>
        <v/>
      </c>
      <c r="C89">
        <f t="shared" si="8"/>
        <v>1.6</v>
      </c>
    </row>
    <row r="90" spans="1:3" x14ac:dyDescent="0.3">
      <c r="A90" t="str">
        <f t="shared" si="9"/>
        <v/>
      </c>
      <c r="B90" t="str">
        <f t="shared" si="7"/>
        <v/>
      </c>
      <c r="C90">
        <f t="shared" si="8"/>
        <v>1.6</v>
      </c>
    </row>
    <row r="91" spans="1:3" x14ac:dyDescent="0.3">
      <c r="A91" t="str">
        <f t="shared" si="9"/>
        <v/>
      </c>
      <c r="B91" t="str">
        <f t="shared" si="7"/>
        <v/>
      </c>
      <c r="C91">
        <f t="shared" si="8"/>
        <v>1.6</v>
      </c>
    </row>
    <row r="92" spans="1:3" x14ac:dyDescent="0.3">
      <c r="A92" t="str">
        <f t="shared" si="9"/>
        <v/>
      </c>
      <c r="B92" t="str">
        <f t="shared" si="7"/>
        <v/>
      </c>
      <c r="C92">
        <f t="shared" si="8"/>
        <v>1.6</v>
      </c>
    </row>
    <row r="93" spans="1:3" x14ac:dyDescent="0.3">
      <c r="A93" t="str">
        <f t="shared" si="9"/>
        <v/>
      </c>
      <c r="B93" t="str">
        <f t="shared" si="7"/>
        <v/>
      </c>
      <c r="C93">
        <f t="shared" si="8"/>
        <v>1.6</v>
      </c>
    </row>
    <row r="94" spans="1:3" x14ac:dyDescent="0.3">
      <c r="A94" t="str">
        <f t="shared" si="9"/>
        <v/>
      </c>
      <c r="B94" t="str">
        <f t="shared" si="7"/>
        <v/>
      </c>
      <c r="C94">
        <f t="shared" si="8"/>
        <v>1.6</v>
      </c>
    </row>
    <row r="95" spans="1:3" x14ac:dyDescent="0.3">
      <c r="A95" t="str">
        <f t="shared" si="9"/>
        <v/>
      </c>
      <c r="B95" t="str">
        <f t="shared" si="7"/>
        <v/>
      </c>
      <c r="C95">
        <f t="shared" si="8"/>
        <v>1.6</v>
      </c>
    </row>
    <row r="96" spans="1:3" x14ac:dyDescent="0.3">
      <c r="A96" t="str">
        <f t="shared" si="9"/>
        <v/>
      </c>
      <c r="B96" t="str">
        <f t="shared" si="7"/>
        <v/>
      </c>
      <c r="C96">
        <f t="shared" si="8"/>
        <v>1.6</v>
      </c>
    </row>
    <row r="97" spans="1:3" x14ac:dyDescent="0.3">
      <c r="A97" t="str">
        <f t="shared" si="9"/>
        <v/>
      </c>
      <c r="B97" t="str">
        <f t="shared" si="7"/>
        <v/>
      </c>
      <c r="C97">
        <f t="shared" si="8"/>
        <v>1.6</v>
      </c>
    </row>
    <row r="98" spans="1:3" x14ac:dyDescent="0.3">
      <c r="A98" t="str">
        <f t="shared" si="9"/>
        <v/>
      </c>
      <c r="B98" t="str">
        <f t="shared" ref="B98:B129" si="10">IF(A98="","",(Titer*Cp-Titer)/A98+1)</f>
        <v/>
      </c>
      <c r="C98">
        <f t="shared" ref="C98:C129" si="11">IF(Cp="","",Cp)</f>
        <v>1.6</v>
      </c>
    </row>
    <row r="99" spans="1:3" x14ac:dyDescent="0.3">
      <c r="A99" t="str">
        <f t="shared" si="9"/>
        <v/>
      </c>
      <c r="B99" t="str">
        <f t="shared" si="10"/>
        <v/>
      </c>
      <c r="C99">
        <f t="shared" si="11"/>
        <v>1.6</v>
      </c>
    </row>
    <row r="100" spans="1:3" x14ac:dyDescent="0.3">
      <c r="A100" t="str">
        <f t="shared" si="9"/>
        <v/>
      </c>
      <c r="B100" t="str">
        <f t="shared" si="10"/>
        <v/>
      </c>
      <c r="C100">
        <f t="shared" si="11"/>
        <v>1.6</v>
      </c>
    </row>
    <row r="101" spans="1:3" x14ac:dyDescent="0.3">
      <c r="A101" t="str">
        <f t="shared" si="9"/>
        <v/>
      </c>
      <c r="B101" t="str">
        <f t="shared" si="10"/>
        <v/>
      </c>
      <c r="C101">
        <f t="shared" si="11"/>
        <v>1.6</v>
      </c>
    </row>
    <row r="102" spans="1:3" x14ac:dyDescent="0.3">
      <c r="A102" t="str">
        <f t="shared" si="9"/>
        <v/>
      </c>
      <c r="B102" t="str">
        <f t="shared" si="10"/>
        <v/>
      </c>
      <c r="C102">
        <f t="shared" si="11"/>
        <v>1.6</v>
      </c>
    </row>
    <row r="103" spans="1:3" x14ac:dyDescent="0.3">
      <c r="A103" t="str">
        <f t="shared" si="9"/>
        <v/>
      </c>
      <c r="B103" t="str">
        <f t="shared" si="10"/>
        <v/>
      </c>
      <c r="C103">
        <f t="shared" si="11"/>
        <v>1.6</v>
      </c>
    </row>
    <row r="104" spans="1:3" x14ac:dyDescent="0.3">
      <c r="A104" t="str">
        <f t="shared" si="9"/>
        <v/>
      </c>
      <c r="B104" t="str">
        <f t="shared" si="10"/>
        <v/>
      </c>
      <c r="C104">
        <f t="shared" si="11"/>
        <v>1.6</v>
      </c>
    </row>
    <row r="105" spans="1:3" x14ac:dyDescent="0.3">
      <c r="A105" t="str">
        <f t="shared" si="9"/>
        <v/>
      </c>
      <c r="B105" t="str">
        <f t="shared" si="10"/>
        <v/>
      </c>
      <c r="C105">
        <f t="shared" si="11"/>
        <v>1.6</v>
      </c>
    </row>
    <row r="106" spans="1:3" x14ac:dyDescent="0.3">
      <c r="A106" t="str">
        <f t="shared" si="9"/>
        <v/>
      </c>
      <c r="B106" t="str">
        <f t="shared" si="10"/>
        <v/>
      </c>
      <c r="C106">
        <f t="shared" si="11"/>
        <v>1.6</v>
      </c>
    </row>
    <row r="107" spans="1:3" x14ac:dyDescent="0.3">
      <c r="A107" t="str">
        <f t="shared" si="9"/>
        <v/>
      </c>
      <c r="B107" t="str">
        <f t="shared" si="10"/>
        <v/>
      </c>
      <c r="C107">
        <f t="shared" si="11"/>
        <v>1.6</v>
      </c>
    </row>
    <row r="108" spans="1:3" x14ac:dyDescent="0.3">
      <c r="A108" t="str">
        <f t="shared" si="9"/>
        <v/>
      </c>
      <c r="B108" t="str">
        <f t="shared" si="10"/>
        <v/>
      </c>
      <c r="C108">
        <f t="shared" si="11"/>
        <v>1.6</v>
      </c>
    </row>
    <row r="109" spans="1:3" x14ac:dyDescent="0.3">
      <c r="A109" t="str">
        <f t="shared" si="9"/>
        <v/>
      </c>
      <c r="B109" t="str">
        <f t="shared" si="10"/>
        <v/>
      </c>
      <c r="C109">
        <f t="shared" si="11"/>
        <v>1.6</v>
      </c>
    </row>
    <row r="110" spans="1:3" x14ac:dyDescent="0.3">
      <c r="A110" t="str">
        <f t="shared" si="9"/>
        <v/>
      </c>
      <c r="B110" t="str">
        <f t="shared" si="10"/>
        <v/>
      </c>
      <c r="C110">
        <f t="shared" si="11"/>
        <v>1.6</v>
      </c>
    </row>
    <row r="111" spans="1:3" x14ac:dyDescent="0.3">
      <c r="A111" t="str">
        <f t="shared" si="9"/>
        <v/>
      </c>
      <c r="B111" t="str">
        <f t="shared" si="10"/>
        <v/>
      </c>
      <c r="C111">
        <f t="shared" si="11"/>
        <v>1.6</v>
      </c>
    </row>
    <row r="112" spans="1:3" x14ac:dyDescent="0.3">
      <c r="A112" t="str">
        <f t="shared" si="9"/>
        <v/>
      </c>
      <c r="B112" t="str">
        <f t="shared" si="10"/>
        <v/>
      </c>
      <c r="C112">
        <f t="shared" si="11"/>
        <v>1.6</v>
      </c>
    </row>
    <row r="113" spans="1:3" x14ac:dyDescent="0.3">
      <c r="A113" t="str">
        <f t="shared" si="9"/>
        <v/>
      </c>
      <c r="B113" t="str">
        <f t="shared" si="10"/>
        <v/>
      </c>
      <c r="C113">
        <f t="shared" si="11"/>
        <v>1.6</v>
      </c>
    </row>
    <row r="114" spans="1:3" x14ac:dyDescent="0.3">
      <c r="A114" t="str">
        <f t="shared" si="9"/>
        <v/>
      </c>
      <c r="B114" t="str">
        <f t="shared" si="10"/>
        <v/>
      </c>
      <c r="C114">
        <f t="shared" si="11"/>
        <v>1.6</v>
      </c>
    </row>
    <row r="115" spans="1:3" x14ac:dyDescent="0.3">
      <c r="A115" t="str">
        <f t="shared" si="9"/>
        <v/>
      </c>
      <c r="B115" t="str">
        <f t="shared" si="10"/>
        <v/>
      </c>
      <c r="C115">
        <f t="shared" si="11"/>
        <v>1.6</v>
      </c>
    </row>
    <row r="116" spans="1:3" x14ac:dyDescent="0.3">
      <c r="A116" t="str">
        <f t="shared" si="9"/>
        <v/>
      </c>
      <c r="B116" t="str">
        <f t="shared" si="10"/>
        <v/>
      </c>
      <c r="C116">
        <f t="shared" si="11"/>
        <v>1.6</v>
      </c>
    </row>
    <row r="117" spans="1:3" x14ac:dyDescent="0.3">
      <c r="A117" t="str">
        <f t="shared" si="9"/>
        <v/>
      </c>
      <c r="B117" t="str">
        <f t="shared" si="10"/>
        <v/>
      </c>
      <c r="C117">
        <f t="shared" si="11"/>
        <v>1.6</v>
      </c>
    </row>
    <row r="118" spans="1:3" x14ac:dyDescent="0.3">
      <c r="A118" t="str">
        <f t="shared" si="9"/>
        <v/>
      </c>
      <c r="B118" t="str">
        <f t="shared" si="10"/>
        <v/>
      </c>
      <c r="C118">
        <f t="shared" si="11"/>
        <v>1.6</v>
      </c>
    </row>
    <row r="119" spans="1:3" x14ac:dyDescent="0.3">
      <c r="A119" t="str">
        <f t="shared" si="9"/>
        <v/>
      </c>
      <c r="B119" t="str">
        <f t="shared" si="10"/>
        <v/>
      </c>
      <c r="C119">
        <f t="shared" si="11"/>
        <v>1.6</v>
      </c>
    </row>
    <row r="120" spans="1:3" x14ac:dyDescent="0.3">
      <c r="A120" t="str">
        <f t="shared" si="9"/>
        <v/>
      </c>
      <c r="B120" t="str">
        <f t="shared" si="10"/>
        <v/>
      </c>
      <c r="C120">
        <f t="shared" si="11"/>
        <v>1.6</v>
      </c>
    </row>
    <row r="121" spans="1:3" x14ac:dyDescent="0.3">
      <c r="A121" t="str">
        <f t="shared" si="9"/>
        <v/>
      </c>
      <c r="B121" t="str">
        <f t="shared" si="10"/>
        <v/>
      </c>
      <c r="C121">
        <f t="shared" si="11"/>
        <v>1.6</v>
      </c>
    </row>
    <row r="122" spans="1:3" x14ac:dyDescent="0.3">
      <c r="A122" t="str">
        <f t="shared" si="9"/>
        <v/>
      </c>
      <c r="B122" t="str">
        <f t="shared" si="10"/>
        <v/>
      </c>
      <c r="C122">
        <f t="shared" si="11"/>
        <v>1.6</v>
      </c>
    </row>
    <row r="123" spans="1:3" x14ac:dyDescent="0.3">
      <c r="A123" t="str">
        <f t="shared" si="9"/>
        <v/>
      </c>
      <c r="B123" t="str">
        <f t="shared" si="10"/>
        <v/>
      </c>
      <c r="C123">
        <f t="shared" si="11"/>
        <v>1.6</v>
      </c>
    </row>
    <row r="124" spans="1:3" x14ac:dyDescent="0.3">
      <c r="A124" t="str">
        <f t="shared" si="9"/>
        <v/>
      </c>
      <c r="B124" t="str">
        <f t="shared" si="10"/>
        <v/>
      </c>
      <c r="C124">
        <f t="shared" si="11"/>
        <v>1.6</v>
      </c>
    </row>
    <row r="125" spans="1:3" x14ac:dyDescent="0.3">
      <c r="A125" t="str">
        <f t="shared" si="9"/>
        <v/>
      </c>
      <c r="B125" t="str">
        <f t="shared" si="10"/>
        <v/>
      </c>
      <c r="C125">
        <f t="shared" si="11"/>
        <v>1.6</v>
      </c>
    </row>
    <row r="126" spans="1:3" x14ac:dyDescent="0.3">
      <c r="A126" t="str">
        <f t="shared" si="9"/>
        <v/>
      </c>
      <c r="B126" t="str">
        <f t="shared" si="10"/>
        <v/>
      </c>
      <c r="C126">
        <f t="shared" si="11"/>
        <v>1.6</v>
      </c>
    </row>
    <row r="127" spans="1:3" x14ac:dyDescent="0.3">
      <c r="A127" t="str">
        <f t="shared" si="9"/>
        <v/>
      </c>
      <c r="B127" t="str">
        <f t="shared" si="10"/>
        <v/>
      </c>
      <c r="C127">
        <f t="shared" si="11"/>
        <v>1.6</v>
      </c>
    </row>
    <row r="128" spans="1:3" x14ac:dyDescent="0.3">
      <c r="A128" t="str">
        <f t="shared" si="9"/>
        <v/>
      </c>
      <c r="B128" t="str">
        <f t="shared" si="10"/>
        <v/>
      </c>
      <c r="C128">
        <f t="shared" si="11"/>
        <v>1.6</v>
      </c>
    </row>
    <row r="129" spans="1:3" x14ac:dyDescent="0.3">
      <c r="A129" t="str">
        <f t="shared" si="9"/>
        <v/>
      </c>
      <c r="B129" t="str">
        <f t="shared" si="10"/>
        <v/>
      </c>
      <c r="C129">
        <f t="shared" si="11"/>
        <v>1.6</v>
      </c>
    </row>
    <row r="130" spans="1:3" x14ac:dyDescent="0.3">
      <c r="A130" t="str">
        <f t="shared" si="9"/>
        <v/>
      </c>
      <c r="B130" t="str">
        <f t="shared" ref="B130:B161" si="12">IF(A130="","",(Titer*Cp-Titer)/A130+1)</f>
        <v/>
      </c>
      <c r="C130">
        <f t="shared" ref="C130:C161" si="13">IF(Cp="","",Cp)</f>
        <v>1.6</v>
      </c>
    </row>
    <row r="131" spans="1:3" x14ac:dyDescent="0.3">
      <c r="A131" t="str">
        <f t="shared" si="9"/>
        <v/>
      </c>
      <c r="B131" t="str">
        <f t="shared" si="12"/>
        <v/>
      </c>
      <c r="C131">
        <f t="shared" si="13"/>
        <v>1.6</v>
      </c>
    </row>
    <row r="132" spans="1:3" x14ac:dyDescent="0.3">
      <c r="A132" t="str">
        <f t="shared" ref="A132:A195" si="14">IF($K$2="","",10^((ROW()-1)*$K$2))</f>
        <v/>
      </c>
      <c r="B132" t="str">
        <f t="shared" si="12"/>
        <v/>
      </c>
      <c r="C132">
        <f t="shared" si="13"/>
        <v>1.6</v>
      </c>
    </row>
    <row r="133" spans="1:3" x14ac:dyDescent="0.3">
      <c r="A133" t="str">
        <f t="shared" si="14"/>
        <v/>
      </c>
      <c r="B133" t="str">
        <f t="shared" si="12"/>
        <v/>
      </c>
      <c r="C133">
        <f t="shared" si="13"/>
        <v>1.6</v>
      </c>
    </row>
    <row r="134" spans="1:3" x14ac:dyDescent="0.3">
      <c r="A134" t="str">
        <f t="shared" si="14"/>
        <v/>
      </c>
      <c r="B134" t="str">
        <f t="shared" si="12"/>
        <v/>
      </c>
      <c r="C134">
        <f t="shared" si="13"/>
        <v>1.6</v>
      </c>
    </row>
    <row r="135" spans="1:3" x14ac:dyDescent="0.3">
      <c r="A135" t="str">
        <f t="shared" si="14"/>
        <v/>
      </c>
      <c r="B135" t="str">
        <f t="shared" si="12"/>
        <v/>
      </c>
      <c r="C135">
        <f t="shared" si="13"/>
        <v>1.6</v>
      </c>
    </row>
    <row r="136" spans="1:3" x14ac:dyDescent="0.3">
      <c r="A136" t="str">
        <f t="shared" si="14"/>
        <v/>
      </c>
      <c r="B136" t="str">
        <f t="shared" si="12"/>
        <v/>
      </c>
      <c r="C136">
        <f t="shared" si="13"/>
        <v>1.6</v>
      </c>
    </row>
    <row r="137" spans="1:3" x14ac:dyDescent="0.3">
      <c r="A137" t="str">
        <f t="shared" si="14"/>
        <v/>
      </c>
      <c r="B137" t="str">
        <f t="shared" si="12"/>
        <v/>
      </c>
      <c r="C137">
        <f t="shared" si="13"/>
        <v>1.6</v>
      </c>
    </row>
    <row r="138" spans="1:3" x14ac:dyDescent="0.3">
      <c r="A138" t="str">
        <f t="shared" si="14"/>
        <v/>
      </c>
      <c r="B138" t="str">
        <f t="shared" si="12"/>
        <v/>
      </c>
      <c r="C138">
        <f t="shared" si="13"/>
        <v>1.6</v>
      </c>
    </row>
    <row r="139" spans="1:3" x14ac:dyDescent="0.3">
      <c r="A139" t="str">
        <f t="shared" si="14"/>
        <v/>
      </c>
      <c r="B139" t="str">
        <f t="shared" si="12"/>
        <v/>
      </c>
      <c r="C139">
        <f t="shared" si="13"/>
        <v>1.6</v>
      </c>
    </row>
    <row r="140" spans="1:3" x14ac:dyDescent="0.3">
      <c r="A140" t="str">
        <f t="shared" si="14"/>
        <v/>
      </c>
      <c r="B140" t="str">
        <f t="shared" si="12"/>
        <v/>
      </c>
      <c r="C140">
        <f t="shared" si="13"/>
        <v>1.6</v>
      </c>
    </row>
    <row r="141" spans="1:3" x14ac:dyDescent="0.3">
      <c r="A141" t="str">
        <f t="shared" si="14"/>
        <v/>
      </c>
      <c r="B141" t="str">
        <f t="shared" si="12"/>
        <v/>
      </c>
      <c r="C141">
        <f t="shared" si="13"/>
        <v>1.6</v>
      </c>
    </row>
    <row r="142" spans="1:3" x14ac:dyDescent="0.3">
      <c r="A142" t="str">
        <f t="shared" si="14"/>
        <v/>
      </c>
      <c r="B142" t="str">
        <f t="shared" si="12"/>
        <v/>
      </c>
      <c r="C142">
        <f t="shared" si="13"/>
        <v>1.6</v>
      </c>
    </row>
    <row r="143" spans="1:3" x14ac:dyDescent="0.3">
      <c r="A143" t="str">
        <f t="shared" si="14"/>
        <v/>
      </c>
      <c r="B143" t="str">
        <f t="shared" si="12"/>
        <v/>
      </c>
      <c r="C143">
        <f t="shared" si="13"/>
        <v>1.6</v>
      </c>
    </row>
    <row r="144" spans="1:3" x14ac:dyDescent="0.3">
      <c r="A144" t="str">
        <f t="shared" si="14"/>
        <v/>
      </c>
      <c r="B144" t="str">
        <f t="shared" si="12"/>
        <v/>
      </c>
      <c r="C144">
        <f t="shared" si="13"/>
        <v>1.6</v>
      </c>
    </row>
    <row r="145" spans="1:3" x14ac:dyDescent="0.3">
      <c r="A145" t="str">
        <f t="shared" si="14"/>
        <v/>
      </c>
      <c r="B145" t="str">
        <f t="shared" si="12"/>
        <v/>
      </c>
      <c r="C145">
        <f t="shared" si="13"/>
        <v>1.6</v>
      </c>
    </row>
    <row r="146" spans="1:3" x14ac:dyDescent="0.3">
      <c r="A146" t="str">
        <f t="shared" si="14"/>
        <v/>
      </c>
      <c r="B146" t="str">
        <f t="shared" si="12"/>
        <v/>
      </c>
      <c r="C146">
        <f t="shared" si="13"/>
        <v>1.6</v>
      </c>
    </row>
    <row r="147" spans="1:3" x14ac:dyDescent="0.3">
      <c r="A147" t="str">
        <f t="shared" si="14"/>
        <v/>
      </c>
      <c r="B147" t="str">
        <f t="shared" si="12"/>
        <v/>
      </c>
      <c r="C147">
        <f t="shared" si="13"/>
        <v>1.6</v>
      </c>
    </row>
    <row r="148" spans="1:3" x14ac:dyDescent="0.3">
      <c r="A148" t="str">
        <f t="shared" si="14"/>
        <v/>
      </c>
      <c r="B148" t="str">
        <f t="shared" si="12"/>
        <v/>
      </c>
      <c r="C148">
        <f t="shared" si="13"/>
        <v>1.6</v>
      </c>
    </row>
    <row r="149" spans="1:3" x14ac:dyDescent="0.3">
      <c r="A149" t="str">
        <f t="shared" si="14"/>
        <v/>
      </c>
      <c r="B149" t="str">
        <f t="shared" si="12"/>
        <v/>
      </c>
      <c r="C149">
        <f t="shared" si="13"/>
        <v>1.6</v>
      </c>
    </row>
    <row r="150" spans="1:3" x14ac:dyDescent="0.3">
      <c r="A150" t="str">
        <f t="shared" si="14"/>
        <v/>
      </c>
      <c r="B150" t="str">
        <f t="shared" si="12"/>
        <v/>
      </c>
      <c r="C150">
        <f t="shared" si="13"/>
        <v>1.6</v>
      </c>
    </row>
    <row r="151" spans="1:3" x14ac:dyDescent="0.3">
      <c r="A151" t="str">
        <f t="shared" si="14"/>
        <v/>
      </c>
      <c r="B151" t="str">
        <f t="shared" si="12"/>
        <v/>
      </c>
      <c r="C151">
        <f t="shared" si="13"/>
        <v>1.6</v>
      </c>
    </row>
    <row r="152" spans="1:3" x14ac:dyDescent="0.3">
      <c r="A152" t="str">
        <f t="shared" si="14"/>
        <v/>
      </c>
      <c r="B152" t="str">
        <f t="shared" si="12"/>
        <v/>
      </c>
      <c r="C152">
        <f t="shared" si="13"/>
        <v>1.6</v>
      </c>
    </row>
    <row r="153" spans="1:3" x14ac:dyDescent="0.3">
      <c r="A153" t="str">
        <f t="shared" si="14"/>
        <v/>
      </c>
      <c r="B153" t="str">
        <f t="shared" si="12"/>
        <v/>
      </c>
      <c r="C153">
        <f t="shared" si="13"/>
        <v>1.6</v>
      </c>
    </row>
    <row r="154" spans="1:3" x14ac:dyDescent="0.3">
      <c r="A154" t="str">
        <f t="shared" si="14"/>
        <v/>
      </c>
      <c r="B154" t="str">
        <f t="shared" si="12"/>
        <v/>
      </c>
      <c r="C154">
        <f t="shared" si="13"/>
        <v>1.6</v>
      </c>
    </row>
    <row r="155" spans="1:3" x14ac:dyDescent="0.3">
      <c r="A155" t="str">
        <f t="shared" si="14"/>
        <v/>
      </c>
      <c r="B155" t="str">
        <f t="shared" si="12"/>
        <v/>
      </c>
      <c r="C155">
        <f t="shared" si="13"/>
        <v>1.6</v>
      </c>
    </row>
    <row r="156" spans="1:3" x14ac:dyDescent="0.3">
      <c r="A156" t="str">
        <f t="shared" si="14"/>
        <v/>
      </c>
      <c r="B156" t="str">
        <f t="shared" si="12"/>
        <v/>
      </c>
      <c r="C156">
        <f t="shared" si="13"/>
        <v>1.6</v>
      </c>
    </row>
    <row r="157" spans="1:3" x14ac:dyDescent="0.3">
      <c r="A157" t="str">
        <f t="shared" si="14"/>
        <v/>
      </c>
      <c r="B157" t="str">
        <f t="shared" si="12"/>
        <v/>
      </c>
      <c r="C157">
        <f t="shared" si="13"/>
        <v>1.6</v>
      </c>
    </row>
    <row r="158" spans="1:3" x14ac:dyDescent="0.3">
      <c r="A158" t="str">
        <f t="shared" si="14"/>
        <v/>
      </c>
      <c r="B158" t="str">
        <f t="shared" si="12"/>
        <v/>
      </c>
      <c r="C158">
        <f t="shared" si="13"/>
        <v>1.6</v>
      </c>
    </row>
    <row r="159" spans="1:3" x14ac:dyDescent="0.3">
      <c r="A159" t="str">
        <f t="shared" si="14"/>
        <v/>
      </c>
      <c r="B159" t="str">
        <f t="shared" si="12"/>
        <v/>
      </c>
      <c r="C159">
        <f t="shared" si="13"/>
        <v>1.6</v>
      </c>
    </row>
    <row r="160" spans="1:3" x14ac:dyDescent="0.3">
      <c r="A160" t="str">
        <f t="shared" si="14"/>
        <v/>
      </c>
      <c r="B160" t="str">
        <f t="shared" si="12"/>
        <v/>
      </c>
      <c r="C160">
        <f t="shared" si="13"/>
        <v>1.6</v>
      </c>
    </row>
    <row r="161" spans="1:3" x14ac:dyDescent="0.3">
      <c r="A161" t="str">
        <f t="shared" si="14"/>
        <v/>
      </c>
      <c r="B161" t="str">
        <f t="shared" si="12"/>
        <v/>
      </c>
      <c r="C161">
        <f t="shared" si="13"/>
        <v>1.6</v>
      </c>
    </row>
    <row r="162" spans="1:3" x14ac:dyDescent="0.3">
      <c r="A162" t="str">
        <f t="shared" si="14"/>
        <v/>
      </c>
      <c r="B162" t="str">
        <f t="shared" ref="B162:B193" si="15">IF(A162="","",(Titer*Cp-Titer)/A162+1)</f>
        <v/>
      </c>
      <c r="C162">
        <f t="shared" ref="C162:C193" si="16">IF(Cp="","",Cp)</f>
        <v>1.6</v>
      </c>
    </row>
    <row r="163" spans="1:3" x14ac:dyDescent="0.3">
      <c r="A163" t="str">
        <f t="shared" si="14"/>
        <v/>
      </c>
      <c r="B163" t="str">
        <f t="shared" si="15"/>
        <v/>
      </c>
      <c r="C163">
        <f t="shared" si="16"/>
        <v>1.6</v>
      </c>
    </row>
    <row r="164" spans="1:3" x14ac:dyDescent="0.3">
      <c r="A164" t="str">
        <f t="shared" si="14"/>
        <v/>
      </c>
      <c r="B164" t="str">
        <f t="shared" si="15"/>
        <v/>
      </c>
      <c r="C164">
        <f t="shared" si="16"/>
        <v>1.6</v>
      </c>
    </row>
    <row r="165" spans="1:3" x14ac:dyDescent="0.3">
      <c r="A165" t="str">
        <f t="shared" si="14"/>
        <v/>
      </c>
      <c r="B165" t="str">
        <f t="shared" si="15"/>
        <v/>
      </c>
      <c r="C165">
        <f t="shared" si="16"/>
        <v>1.6</v>
      </c>
    </row>
    <row r="166" spans="1:3" x14ac:dyDescent="0.3">
      <c r="A166" t="str">
        <f t="shared" si="14"/>
        <v/>
      </c>
      <c r="B166" t="str">
        <f t="shared" si="15"/>
        <v/>
      </c>
      <c r="C166">
        <f t="shared" si="16"/>
        <v>1.6</v>
      </c>
    </row>
    <row r="167" spans="1:3" x14ac:dyDescent="0.3">
      <c r="A167" t="str">
        <f t="shared" si="14"/>
        <v/>
      </c>
      <c r="B167" t="str">
        <f t="shared" si="15"/>
        <v/>
      </c>
      <c r="C167">
        <f t="shared" si="16"/>
        <v>1.6</v>
      </c>
    </row>
    <row r="168" spans="1:3" x14ac:dyDescent="0.3">
      <c r="A168" t="str">
        <f t="shared" si="14"/>
        <v/>
      </c>
      <c r="B168" t="str">
        <f t="shared" si="15"/>
        <v/>
      </c>
      <c r="C168">
        <f t="shared" si="16"/>
        <v>1.6</v>
      </c>
    </row>
    <row r="169" spans="1:3" x14ac:dyDescent="0.3">
      <c r="A169" t="str">
        <f t="shared" si="14"/>
        <v/>
      </c>
      <c r="B169" t="str">
        <f t="shared" si="15"/>
        <v/>
      </c>
      <c r="C169">
        <f t="shared" si="16"/>
        <v>1.6</v>
      </c>
    </row>
    <row r="170" spans="1:3" x14ac:dyDescent="0.3">
      <c r="A170" t="str">
        <f t="shared" si="14"/>
        <v/>
      </c>
      <c r="B170" t="str">
        <f t="shared" si="15"/>
        <v/>
      </c>
      <c r="C170">
        <f t="shared" si="16"/>
        <v>1.6</v>
      </c>
    </row>
    <row r="171" spans="1:3" x14ac:dyDescent="0.3">
      <c r="A171" t="str">
        <f t="shared" si="14"/>
        <v/>
      </c>
      <c r="B171" t="str">
        <f t="shared" si="15"/>
        <v/>
      </c>
      <c r="C171">
        <f t="shared" si="16"/>
        <v>1.6</v>
      </c>
    </row>
    <row r="172" spans="1:3" x14ac:dyDescent="0.3">
      <c r="A172" t="str">
        <f t="shared" si="14"/>
        <v/>
      </c>
      <c r="B172" t="str">
        <f t="shared" si="15"/>
        <v/>
      </c>
      <c r="C172">
        <f t="shared" si="16"/>
        <v>1.6</v>
      </c>
    </row>
    <row r="173" spans="1:3" x14ac:dyDescent="0.3">
      <c r="A173" t="str">
        <f t="shared" si="14"/>
        <v/>
      </c>
      <c r="B173" t="str">
        <f t="shared" si="15"/>
        <v/>
      </c>
      <c r="C173">
        <f t="shared" si="16"/>
        <v>1.6</v>
      </c>
    </row>
    <row r="174" spans="1:3" x14ac:dyDescent="0.3">
      <c r="A174" t="str">
        <f t="shared" si="14"/>
        <v/>
      </c>
      <c r="B174" t="str">
        <f t="shared" si="15"/>
        <v/>
      </c>
      <c r="C174">
        <f t="shared" si="16"/>
        <v>1.6</v>
      </c>
    </row>
    <row r="175" spans="1:3" x14ac:dyDescent="0.3">
      <c r="A175" t="str">
        <f t="shared" si="14"/>
        <v/>
      </c>
      <c r="B175" t="str">
        <f t="shared" si="15"/>
        <v/>
      </c>
      <c r="C175">
        <f t="shared" si="16"/>
        <v>1.6</v>
      </c>
    </row>
    <row r="176" spans="1:3" x14ac:dyDescent="0.3">
      <c r="A176" t="str">
        <f t="shared" si="14"/>
        <v/>
      </c>
      <c r="B176" t="str">
        <f t="shared" si="15"/>
        <v/>
      </c>
      <c r="C176">
        <f t="shared" si="16"/>
        <v>1.6</v>
      </c>
    </row>
    <row r="177" spans="1:3" x14ac:dyDescent="0.3">
      <c r="A177" t="str">
        <f t="shared" si="14"/>
        <v/>
      </c>
      <c r="B177" t="str">
        <f t="shared" si="15"/>
        <v/>
      </c>
      <c r="C177">
        <f t="shared" si="16"/>
        <v>1.6</v>
      </c>
    </row>
    <row r="178" spans="1:3" x14ac:dyDescent="0.3">
      <c r="A178" t="str">
        <f t="shared" si="14"/>
        <v/>
      </c>
      <c r="B178" t="str">
        <f t="shared" si="15"/>
        <v/>
      </c>
      <c r="C178">
        <f t="shared" si="16"/>
        <v>1.6</v>
      </c>
    </row>
    <row r="179" spans="1:3" x14ac:dyDescent="0.3">
      <c r="A179" t="str">
        <f t="shared" si="14"/>
        <v/>
      </c>
      <c r="B179" t="str">
        <f t="shared" si="15"/>
        <v/>
      </c>
      <c r="C179">
        <f t="shared" si="16"/>
        <v>1.6</v>
      </c>
    </row>
    <row r="180" spans="1:3" x14ac:dyDescent="0.3">
      <c r="A180" t="str">
        <f t="shared" si="14"/>
        <v/>
      </c>
      <c r="B180" t="str">
        <f t="shared" si="15"/>
        <v/>
      </c>
      <c r="C180">
        <f t="shared" si="16"/>
        <v>1.6</v>
      </c>
    </row>
    <row r="181" spans="1:3" x14ac:dyDescent="0.3">
      <c r="A181" t="str">
        <f t="shared" si="14"/>
        <v/>
      </c>
      <c r="B181" t="str">
        <f t="shared" si="15"/>
        <v/>
      </c>
      <c r="C181">
        <f t="shared" si="16"/>
        <v>1.6</v>
      </c>
    </row>
    <row r="182" spans="1:3" x14ac:dyDescent="0.3">
      <c r="A182" t="str">
        <f t="shared" si="14"/>
        <v/>
      </c>
      <c r="B182" t="str">
        <f t="shared" si="15"/>
        <v/>
      </c>
      <c r="C182">
        <f t="shared" si="16"/>
        <v>1.6</v>
      </c>
    </row>
    <row r="183" spans="1:3" x14ac:dyDescent="0.3">
      <c r="A183" t="str">
        <f t="shared" si="14"/>
        <v/>
      </c>
      <c r="B183" t="str">
        <f t="shared" si="15"/>
        <v/>
      </c>
      <c r="C183">
        <f t="shared" si="16"/>
        <v>1.6</v>
      </c>
    </row>
    <row r="184" spans="1:3" x14ac:dyDescent="0.3">
      <c r="A184" t="str">
        <f t="shared" si="14"/>
        <v/>
      </c>
      <c r="B184" t="str">
        <f t="shared" si="15"/>
        <v/>
      </c>
      <c r="C184">
        <f t="shared" si="16"/>
        <v>1.6</v>
      </c>
    </row>
    <row r="185" spans="1:3" x14ac:dyDescent="0.3">
      <c r="A185" t="str">
        <f t="shared" si="14"/>
        <v/>
      </c>
      <c r="B185" t="str">
        <f t="shared" si="15"/>
        <v/>
      </c>
      <c r="C185">
        <f t="shared" si="16"/>
        <v>1.6</v>
      </c>
    </row>
    <row r="186" spans="1:3" x14ac:dyDescent="0.3">
      <c r="A186" t="str">
        <f t="shared" si="14"/>
        <v/>
      </c>
      <c r="B186" t="str">
        <f t="shared" si="15"/>
        <v/>
      </c>
      <c r="C186">
        <f t="shared" si="16"/>
        <v>1.6</v>
      </c>
    </row>
    <row r="187" spans="1:3" x14ac:dyDescent="0.3">
      <c r="A187" t="str">
        <f t="shared" si="14"/>
        <v/>
      </c>
      <c r="B187" t="str">
        <f t="shared" si="15"/>
        <v/>
      </c>
      <c r="C187">
        <f t="shared" si="16"/>
        <v>1.6</v>
      </c>
    </row>
    <row r="188" spans="1:3" x14ac:dyDescent="0.3">
      <c r="A188" t="str">
        <f t="shared" si="14"/>
        <v/>
      </c>
      <c r="B188" t="str">
        <f t="shared" si="15"/>
        <v/>
      </c>
      <c r="C188">
        <f t="shared" si="16"/>
        <v>1.6</v>
      </c>
    </row>
    <row r="189" spans="1:3" x14ac:dyDescent="0.3">
      <c r="A189" t="str">
        <f t="shared" si="14"/>
        <v/>
      </c>
      <c r="B189" t="str">
        <f t="shared" si="15"/>
        <v/>
      </c>
      <c r="C189">
        <f t="shared" si="16"/>
        <v>1.6</v>
      </c>
    </row>
    <row r="190" spans="1:3" x14ac:dyDescent="0.3">
      <c r="A190" t="str">
        <f t="shared" si="14"/>
        <v/>
      </c>
      <c r="B190" t="str">
        <f t="shared" si="15"/>
        <v/>
      </c>
      <c r="C190">
        <f t="shared" si="16"/>
        <v>1.6</v>
      </c>
    </row>
    <row r="191" spans="1:3" x14ac:dyDescent="0.3">
      <c r="A191" t="str">
        <f t="shared" si="14"/>
        <v/>
      </c>
      <c r="B191" t="str">
        <f t="shared" si="15"/>
        <v/>
      </c>
      <c r="C191">
        <f t="shared" si="16"/>
        <v>1.6</v>
      </c>
    </row>
    <row r="192" spans="1:3" x14ac:dyDescent="0.3">
      <c r="A192" t="str">
        <f t="shared" si="14"/>
        <v/>
      </c>
      <c r="B192" t="str">
        <f t="shared" si="15"/>
        <v/>
      </c>
      <c r="C192">
        <f t="shared" si="16"/>
        <v>1.6</v>
      </c>
    </row>
    <row r="193" spans="1:3" x14ac:dyDescent="0.3">
      <c r="A193" t="str">
        <f t="shared" si="14"/>
        <v/>
      </c>
      <c r="B193" t="str">
        <f t="shared" si="15"/>
        <v/>
      </c>
      <c r="C193">
        <f t="shared" si="16"/>
        <v>1.6</v>
      </c>
    </row>
    <row r="194" spans="1:3" x14ac:dyDescent="0.3">
      <c r="A194" t="str">
        <f t="shared" si="14"/>
        <v/>
      </c>
      <c r="B194" t="str">
        <f t="shared" ref="B194:B200" si="17">IF(A194="","",(Titer*Cp-Titer)/A194+1)</f>
        <v/>
      </c>
      <c r="C194">
        <f t="shared" ref="C194:C200" si="18">IF(Cp="","",Cp)</f>
        <v>1.6</v>
      </c>
    </row>
    <row r="195" spans="1:3" x14ac:dyDescent="0.3">
      <c r="A195" t="str">
        <f t="shared" si="14"/>
        <v/>
      </c>
      <c r="B195" t="str">
        <f t="shared" si="17"/>
        <v/>
      </c>
      <c r="C195">
        <f t="shared" si="18"/>
        <v>1.6</v>
      </c>
    </row>
    <row r="196" spans="1:3" x14ac:dyDescent="0.3">
      <c r="A196" t="str">
        <f t="shared" ref="A196:A200" si="19">IF($K$2="","",10^((ROW()-1)*$K$2))</f>
        <v/>
      </c>
      <c r="B196" t="str">
        <f t="shared" si="17"/>
        <v/>
      </c>
      <c r="C196">
        <f t="shared" si="18"/>
        <v>1.6</v>
      </c>
    </row>
    <row r="197" spans="1:3" x14ac:dyDescent="0.3">
      <c r="A197" t="str">
        <f t="shared" si="19"/>
        <v/>
      </c>
      <c r="B197" t="str">
        <f t="shared" si="17"/>
        <v/>
      </c>
      <c r="C197">
        <f t="shared" si="18"/>
        <v>1.6</v>
      </c>
    </row>
    <row r="198" spans="1:3" x14ac:dyDescent="0.3">
      <c r="A198" t="str">
        <f t="shared" si="19"/>
        <v/>
      </c>
      <c r="B198" t="str">
        <f t="shared" si="17"/>
        <v/>
      </c>
      <c r="C198">
        <f t="shared" si="18"/>
        <v>1.6</v>
      </c>
    </row>
    <row r="199" spans="1:3" x14ac:dyDescent="0.3">
      <c r="A199" t="str">
        <f t="shared" si="19"/>
        <v/>
      </c>
      <c r="B199" t="str">
        <f t="shared" si="17"/>
        <v/>
      </c>
      <c r="C199">
        <f t="shared" si="18"/>
        <v>1.6</v>
      </c>
    </row>
    <row r="200" spans="1:3" x14ac:dyDescent="0.3">
      <c r="A200" t="str">
        <f t="shared" si="19"/>
        <v/>
      </c>
      <c r="B200" t="str">
        <f t="shared" si="17"/>
        <v/>
      </c>
      <c r="C200">
        <f t="shared" si="18"/>
        <v>1.6</v>
      </c>
    </row>
  </sheetData>
  <sheetProtection algorithmName="SHA-512" hashValue="FsGc4J0qx5Spa65F/BIw0euClH6C5uhlsGObhtjpHTs9NhNXNsZacLFvHRJR137CPRbhZ4He/0uluF9SatPTWw==" saltValue="eyJnW8b3uhfmfgsme+X5WA==" spinCount="100000" sheet="1" objects="1" scenarios="1" selectLockedCells="1" selectUnlockedCells="1"/>
  <mergeCells count="1">
    <mergeCell ref="M1:N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Regression</vt:lpstr>
      <vt:lpstr>Cp</vt:lpstr>
      <vt:lpstr>Dilution</vt:lpstr>
      <vt:lpstr>Titer</vt:lpstr>
    </vt:vector>
  </TitlesOfParts>
  <Company>Eli Lilly and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Seta</dc:creator>
  <cp:lastModifiedBy>Nicholas Seta</cp:lastModifiedBy>
  <dcterms:created xsi:type="dcterms:W3CDTF">2023-02-02T17:30:14Z</dcterms:created>
  <dcterms:modified xsi:type="dcterms:W3CDTF">2023-10-03T14:58:12Z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7cde649-2d29-4798-867f-cc7911dc741d_Enabled">
    <vt:lpwstr>true</vt:lpwstr>
  </property>
  <property fmtid="{D5CDD505-2E9C-101B-9397-08002B2CF9AE}" pid="3" name="MSIP_Label_d7cde649-2d29-4798-867f-cc7911dc741d_SetDate">
    <vt:lpwstr>2023-09-29T15:56:37Z</vt:lpwstr>
  </property>
  <property fmtid="{D5CDD505-2E9C-101B-9397-08002B2CF9AE}" pid="4" name="MSIP_Label_d7cde649-2d29-4798-867f-cc7911dc741d_Method">
    <vt:lpwstr>Privileged</vt:lpwstr>
  </property>
  <property fmtid="{D5CDD505-2E9C-101B-9397-08002B2CF9AE}" pid="5" name="MSIP_Label_d7cde649-2d29-4798-867f-cc7911dc741d_Name">
    <vt:lpwstr>d7cde649-2d29-4798-867f-cc7911dc741d</vt:lpwstr>
  </property>
  <property fmtid="{D5CDD505-2E9C-101B-9397-08002B2CF9AE}" pid="6" name="MSIP_Label_d7cde649-2d29-4798-867f-cc7911dc741d_SiteId">
    <vt:lpwstr>18a59a81-eea8-4c30-948a-d8824cdc2580</vt:lpwstr>
  </property>
  <property fmtid="{D5CDD505-2E9C-101B-9397-08002B2CF9AE}" pid="7" name="MSIP_Label_d7cde649-2d29-4798-867f-cc7911dc741d_ActionId">
    <vt:lpwstr>dff69adb-f158-4e84-8a59-85e61fe259ba</vt:lpwstr>
  </property>
  <property fmtid="{D5CDD505-2E9C-101B-9397-08002B2CF9AE}" pid="8" name="MSIP_Label_d7cde649-2d29-4798-867f-cc7911dc741d_ContentBits">
    <vt:lpwstr>0</vt:lpwstr>
  </property>
</Properties>
</file>